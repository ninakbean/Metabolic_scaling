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Nina Bean\Documents\Projects\Metabolic_scaling\Data\Larvae\"/>
    </mc:Choice>
  </mc:AlternateContent>
  <xr:revisionPtr revIDLastSave="0" documentId="13_ncr:1_{05EC80C0-7EB2-480A-9AB2-DA291C73AE1A}" xr6:coauthVersionLast="45" xr6:coauthVersionMax="45" xr10:uidLastSave="{00000000-0000-0000-0000-000000000000}"/>
  <bookViews>
    <workbookView xWindow="-110" yWindow="-110" windowWidth="19420" windowHeight="10420" activeTab="3" xr2:uid="{00000000-000D-0000-FFFF-FFFF00000000}"/>
  </bookViews>
  <sheets>
    <sheet name="Respiration" sheetId="6" r:id="rId1"/>
    <sheet name="Size" sheetId="7" r:id="rId2"/>
    <sheet name="Size_multiple_calibrations" sheetId="5" r:id="rId3"/>
    <sheet name="Notes" sheetId="8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" i="5" l="1"/>
  <c r="P2" i="6" l="1"/>
  <c r="N2" i="6"/>
  <c r="Q2" i="6" s="1"/>
  <c r="X3" i="6" l="1"/>
  <c r="X4" i="6"/>
  <c r="X5" i="6"/>
  <c r="X6" i="6"/>
  <c r="X7" i="6"/>
  <c r="X8" i="6"/>
  <c r="X9" i="6"/>
  <c r="X10" i="6"/>
  <c r="X11" i="6"/>
  <c r="X2" i="6"/>
  <c r="G2" i="5"/>
  <c r="G3" i="5"/>
  <c r="G4" i="5"/>
  <c r="G5" i="5"/>
  <c r="G6" i="5"/>
  <c r="G7" i="5"/>
  <c r="G8" i="5"/>
  <c r="G9" i="5"/>
  <c r="H8" i="5" s="1"/>
  <c r="G10" i="5"/>
  <c r="G11" i="5"/>
  <c r="G12" i="5"/>
  <c r="G13" i="5"/>
  <c r="G14" i="5"/>
  <c r="H14" i="5" s="1"/>
  <c r="G15" i="5"/>
  <c r="G16" i="5"/>
  <c r="G17" i="5"/>
  <c r="G18" i="5"/>
  <c r="G19" i="5"/>
  <c r="G20" i="5"/>
  <c r="H20" i="5" s="1"/>
  <c r="G21" i="5"/>
  <c r="G22" i="5"/>
  <c r="G23" i="5"/>
  <c r="G24" i="5"/>
  <c r="G25" i="5"/>
  <c r="G26" i="5"/>
  <c r="H26" i="5" s="1"/>
  <c r="G27" i="5"/>
  <c r="G28" i="5"/>
  <c r="G29" i="5"/>
  <c r="G30" i="5"/>
  <c r="G31" i="5"/>
  <c r="G32" i="5"/>
  <c r="G33" i="5"/>
  <c r="H32" i="5" s="1"/>
  <c r="G34" i="5"/>
  <c r="G35" i="5"/>
  <c r="G36" i="5"/>
  <c r="G37" i="5"/>
  <c r="G38" i="5"/>
  <c r="H38" i="5" s="1"/>
  <c r="G39" i="5"/>
  <c r="G40" i="5"/>
  <c r="G41" i="5"/>
  <c r="G42" i="5"/>
  <c r="G43" i="5"/>
  <c r="G44" i="5"/>
  <c r="H44" i="5" s="1"/>
  <c r="G45" i="5"/>
  <c r="G46" i="5"/>
  <c r="G47" i="5"/>
  <c r="G48" i="5"/>
  <c r="G49" i="5"/>
  <c r="G50" i="5"/>
  <c r="H50" i="5" s="1"/>
  <c r="G51" i="5"/>
  <c r="G52" i="5"/>
  <c r="G53" i="5"/>
  <c r="G54" i="5"/>
  <c r="G55" i="5"/>
  <c r="G56" i="5"/>
  <c r="H56" i="5" s="1"/>
  <c r="G57" i="5"/>
  <c r="G58" i="5"/>
  <c r="G59" i="5"/>
  <c r="G60" i="5"/>
  <c r="G61" i="5"/>
  <c r="G62" i="5"/>
  <c r="H62" i="5" s="1"/>
  <c r="G63" i="5"/>
  <c r="G64" i="5"/>
  <c r="G65" i="5"/>
  <c r="G66" i="5"/>
  <c r="G67" i="5"/>
  <c r="G68" i="5"/>
  <c r="H68" i="5" s="1"/>
  <c r="G69" i="5"/>
  <c r="G70" i="5"/>
  <c r="G71" i="5"/>
  <c r="G72" i="5"/>
  <c r="G73" i="5"/>
  <c r="G74" i="5"/>
  <c r="H74" i="5" s="1"/>
  <c r="G75" i="5"/>
  <c r="G76" i="5"/>
  <c r="G77" i="5"/>
  <c r="G78" i="5"/>
  <c r="G79" i="5"/>
  <c r="P30" i="6" l="1"/>
  <c r="P17" i="6"/>
  <c r="P29" i="6"/>
  <c r="N11" i="6" l="1"/>
  <c r="N22" i="6"/>
  <c r="N29" i="6"/>
  <c r="S29" i="6" s="1"/>
  <c r="N30" i="6"/>
  <c r="S30" i="6" s="1"/>
  <c r="N17" i="6"/>
  <c r="S17" i="6" s="1"/>
  <c r="P8" i="6" l="1"/>
  <c r="P9" i="6"/>
  <c r="P15" i="6"/>
  <c r="P27" i="6"/>
  <c r="P21" i="6"/>
  <c r="P25" i="6"/>
  <c r="P28" i="6"/>
  <c r="P16" i="6"/>
  <c r="P10" i="6"/>
  <c r="P11" i="6"/>
  <c r="Q11" i="6" s="1"/>
  <c r="P22" i="6"/>
  <c r="S22" i="6" s="1"/>
  <c r="N9" i="6"/>
  <c r="N15" i="6"/>
  <c r="N27" i="6"/>
  <c r="N21" i="6"/>
  <c r="N25" i="6"/>
  <c r="N28" i="6"/>
  <c r="N16" i="6"/>
  <c r="N10" i="6"/>
  <c r="N8" i="6"/>
  <c r="P4" i="6"/>
  <c r="P5" i="6"/>
  <c r="P13" i="6"/>
  <c r="P19" i="6"/>
  <c r="P23" i="6"/>
  <c r="P6" i="6"/>
  <c r="P7" i="6"/>
  <c r="P24" i="6"/>
  <c r="P14" i="6"/>
  <c r="P20" i="6"/>
  <c r="N4" i="6"/>
  <c r="N5" i="6"/>
  <c r="N13" i="6"/>
  <c r="N19" i="6"/>
  <c r="N23" i="6"/>
  <c r="N6" i="6"/>
  <c r="N7" i="6"/>
  <c r="N24" i="6"/>
  <c r="N14" i="6"/>
  <c r="N20" i="6"/>
  <c r="P18" i="6"/>
  <c r="P12" i="6"/>
  <c r="N18" i="6"/>
  <c r="N12" i="6"/>
  <c r="N26" i="6"/>
  <c r="P26" i="6"/>
  <c r="P3" i="6"/>
  <c r="N3" i="6"/>
  <c r="S3" i="6" l="1"/>
  <c r="S8" i="6"/>
  <c r="S12" i="6"/>
  <c r="S18" i="6"/>
  <c r="S14" i="6"/>
  <c r="S23" i="6"/>
  <c r="S4" i="6"/>
  <c r="S21" i="6"/>
  <c r="S20" i="6"/>
  <c r="S6" i="6"/>
  <c r="S5" i="6"/>
  <c r="S25" i="6"/>
  <c r="S9" i="6"/>
  <c r="S11" i="6"/>
  <c r="Q10" i="6"/>
  <c r="R10" i="6" s="1"/>
  <c r="T22" i="6" s="1"/>
  <c r="S10" i="6"/>
  <c r="S24" i="6"/>
  <c r="S19" i="6"/>
  <c r="S16" i="6"/>
  <c r="S27" i="6"/>
  <c r="S26" i="6"/>
  <c r="S7" i="6"/>
  <c r="S13" i="6"/>
  <c r="S28" i="6"/>
  <c r="S15" i="6"/>
  <c r="Q4" i="6"/>
  <c r="Q6" i="6"/>
  <c r="Q5" i="6"/>
  <c r="S2" i="6"/>
  <c r="Q7" i="6"/>
  <c r="Q8" i="6"/>
  <c r="Q3" i="6"/>
  <c r="Q9" i="6"/>
  <c r="R2" i="6" l="1"/>
  <c r="T12" i="6" s="1"/>
  <c r="R4" i="6"/>
  <c r="T13" i="6" s="1"/>
  <c r="R6" i="6"/>
  <c r="T24" i="6" s="1"/>
  <c r="R8" i="6"/>
  <c r="V13" i="6" l="1"/>
  <c r="U13" i="6"/>
  <c r="W13" i="6" s="1"/>
  <c r="X13" i="6" s="1"/>
  <c r="T18" i="6"/>
  <c r="V18" i="6" s="1"/>
  <c r="T26" i="6"/>
  <c r="T19" i="6"/>
  <c r="U19" i="6" s="1"/>
  <c r="W19" i="6" s="1"/>
  <c r="X19" i="6" s="1"/>
  <c r="T16" i="6"/>
  <c r="U16" i="6" s="1"/>
  <c r="W16" i="6" s="1"/>
  <c r="X16" i="6" s="1"/>
  <c r="T15" i="6"/>
  <c r="V15" i="6" s="1"/>
  <c r="T20" i="6"/>
  <c r="U20" i="6" s="1"/>
  <c r="W20" i="6" s="1"/>
  <c r="X20" i="6" s="1"/>
  <c r="T30" i="6"/>
  <c r="V30" i="6" s="1"/>
  <c r="T17" i="6"/>
  <c r="U17" i="6" s="1"/>
  <c r="W17" i="6" s="1"/>
  <c r="X17" i="6" s="1"/>
  <c r="T29" i="6"/>
  <c r="U29" i="6" s="1"/>
  <c r="W29" i="6" s="1"/>
  <c r="X29" i="6" s="1"/>
  <c r="U24" i="6"/>
  <c r="W24" i="6" s="1"/>
  <c r="X24" i="6" s="1"/>
  <c r="T21" i="6"/>
  <c r="U21" i="6" s="1"/>
  <c r="W21" i="6" s="1"/>
  <c r="X21" i="6" s="1"/>
  <c r="T14" i="6"/>
  <c r="U14" i="6" s="1"/>
  <c r="W14" i="6" s="1"/>
  <c r="X14" i="6" s="1"/>
  <c r="V22" i="6"/>
  <c r="T25" i="6"/>
  <c r="U25" i="6" s="1"/>
  <c r="W25" i="6" s="1"/>
  <c r="X25" i="6" s="1"/>
  <c r="T28" i="6"/>
  <c r="V28" i="6" s="1"/>
  <c r="T23" i="6"/>
  <c r="V23" i="6" s="1"/>
  <c r="T27" i="6"/>
  <c r="U27" i="6" s="1"/>
  <c r="W27" i="6" s="1"/>
  <c r="X27" i="6" s="1"/>
  <c r="V12" i="6"/>
  <c r="U12" i="6"/>
  <c r="W12" i="6" s="1"/>
  <c r="X12" i="6" s="1"/>
  <c r="V19" i="6" l="1"/>
  <c r="V21" i="6"/>
  <c r="V16" i="6"/>
  <c r="U18" i="6"/>
  <c r="W18" i="6" s="1"/>
  <c r="X18" i="6" s="1"/>
  <c r="V26" i="6"/>
  <c r="U26" i="6"/>
  <c r="W26" i="6" s="1"/>
  <c r="X26" i="6" s="1"/>
  <c r="V29" i="6"/>
  <c r="V24" i="6"/>
  <c r="V20" i="6"/>
  <c r="V14" i="6"/>
  <c r="U30" i="6"/>
  <c r="W30" i="6" s="1"/>
  <c r="X30" i="6" s="1"/>
  <c r="V17" i="6"/>
  <c r="U22" i="6"/>
  <c r="W22" i="6" s="1"/>
  <c r="X22" i="6" s="1"/>
  <c r="U15" i="6"/>
  <c r="W15" i="6" s="1"/>
  <c r="X15" i="6" s="1"/>
  <c r="U28" i="6"/>
  <c r="W28" i="6" s="1"/>
  <c r="X28" i="6" s="1"/>
  <c r="V25" i="6"/>
  <c r="U23" i="6"/>
  <c r="W23" i="6" s="1"/>
  <c r="X23" i="6" s="1"/>
  <c r="V27" i="6"/>
</calcChain>
</file>

<file path=xl/sharedStrings.xml><?xml version="1.0" encoding="utf-8"?>
<sst xmlns="http://schemas.openxmlformats.org/spreadsheetml/2006/main" count="343" uniqueCount="46">
  <si>
    <t>Notes</t>
  </si>
  <si>
    <t>small</t>
  </si>
  <si>
    <t>large</t>
  </si>
  <si>
    <t>ID</t>
  </si>
  <si>
    <t>medium-small</t>
  </si>
  <si>
    <t>medium-large</t>
  </si>
  <si>
    <t>volume</t>
  </si>
  <si>
    <t>category</t>
  </si>
  <si>
    <t>Date</t>
  </si>
  <si>
    <t>Genotype</t>
  </si>
  <si>
    <t>Temp</t>
  </si>
  <si>
    <t>Number_larvae</t>
  </si>
  <si>
    <t>Start_Time</t>
  </si>
  <si>
    <t>End_Time</t>
  </si>
  <si>
    <t>incubation.time (min)</t>
  </si>
  <si>
    <t>volume (mL)</t>
  </si>
  <si>
    <t>o2.start.perc</t>
  </si>
  <si>
    <t>o2.start.actual</t>
  </si>
  <si>
    <t>o2.final.perc</t>
  </si>
  <si>
    <t>o2.final.actual</t>
  </si>
  <si>
    <t>umol/mL/min</t>
  </si>
  <si>
    <t>umol/vial/min</t>
  </si>
  <si>
    <t>umol/larva/min</t>
  </si>
  <si>
    <t>nmol/larva/min</t>
  </si>
  <si>
    <t>control</t>
  </si>
  <si>
    <t>Category</t>
  </si>
  <si>
    <t>Control.avg.vial</t>
  </si>
  <si>
    <t>Avg</t>
  </si>
  <si>
    <t>max.mm.1</t>
  </si>
  <si>
    <t>max.mm.2</t>
  </si>
  <si>
    <t>E</t>
  </si>
  <si>
    <t>raw_umol/vial/min</t>
  </si>
  <si>
    <t>Did not incubate long enough? Take out?</t>
  </si>
  <si>
    <t>Pic?</t>
  </si>
  <si>
    <t>yes</t>
  </si>
  <si>
    <t>SE</t>
  </si>
  <si>
    <t>STDEV</t>
  </si>
  <si>
    <t>S</t>
  </si>
  <si>
    <t>ML</t>
  </si>
  <si>
    <t>L</t>
  </si>
  <si>
    <t>MS</t>
  </si>
  <si>
    <t>pikomol.larva.min</t>
  </si>
  <si>
    <t>Notes: These were measurements where I recalibrated the scale each time, but the mesh isn't that accurate..</t>
  </si>
  <si>
    <t>length.mm</t>
  </si>
  <si>
    <t>width.mm</t>
  </si>
  <si>
    <t>Incubation time: 49-119 min. This includes just the larvae and the larvae and controls together. (The extremes were all in the larvae trials)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</si>
</sst>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"/>
  </numFmts>
  <fonts count="4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FFFF"/>
      <name val="Lucida Grande"/>
      <family val="2"/>
    </font>
    <font>
      <sz val="11"/>
      <color theme="1"/>
      <name val="Lucida Grand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Fill="1" applyBorder="1"/>
    <xf numFmtId="0" fontId="0" fillId="0" borderId="0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164" fontId="0" fillId="0" borderId="0" xfId="0" applyNumberFormat="1" applyFill="1" applyBorder="1" applyAlignment="1">
      <alignment horizontal="center" vertical="center" wrapText="1"/>
    </xf>
    <xf numFmtId="2" fontId="0" fillId="0" borderId="0" xfId="0" applyNumberFormat="1" applyFont="1" applyFill="1" applyBorder="1"/>
    <xf numFmtId="1" fontId="0" fillId="0" borderId="0" xfId="0" applyNumberFormat="1" applyFont="1" applyFill="1" applyBorder="1"/>
    <xf numFmtId="165" fontId="0" fillId="0" borderId="0" xfId="0" applyNumberFormat="1" applyFont="1" applyFill="1" applyBorder="1"/>
    <xf numFmtId="20" fontId="0" fillId="0" borderId="0" xfId="0" applyNumberFormat="1" applyFont="1" applyFill="1" applyBorder="1"/>
    <xf numFmtId="14" fontId="0" fillId="0" borderId="0" xfId="0" applyNumberFormat="1" applyFont="1" applyFill="1" applyBorder="1"/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164" fontId="0" fillId="0" borderId="0" xfId="0" applyNumberFormat="1" applyFill="1" applyAlignment="1">
      <alignment horizontal="center" vertical="center" wrapText="1"/>
    </xf>
    <xf numFmtId="0" fontId="0" fillId="0" borderId="0" xfId="0" applyFill="1"/>
    <xf numFmtId="0" fontId="3" fillId="0" borderId="0" xfId="0" applyFont="1" applyFill="1"/>
    <xf numFmtId="0" fontId="2" fillId="0" borderId="0" xfId="0" applyFont="1" applyFill="1"/>
    <xf numFmtId="2" fontId="0" fillId="0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58DDE-76A3-7841-8BD1-65FBD117586E}">
  <dimension ref="A1:X100"/>
  <sheetViews>
    <sheetView zoomScale="113" workbookViewId="0">
      <pane xSplit="1" ySplit="1" topLeftCell="B17" activePane="bottomRight" state="frozen"/>
      <selection pane="topRight" activeCell="B1" sqref="B1"/>
      <selection pane="bottomLeft" activeCell="A2" sqref="A2"/>
      <selection pane="bottomRight" activeCell="H21" sqref="H21"/>
    </sheetView>
  </sheetViews>
  <sheetFormatPr defaultColWidth="10.81640625" defaultRowHeight="14.5"/>
  <cols>
    <col min="1" max="2" width="10.81640625" style="1"/>
    <col min="3" max="3" width="8.453125" style="1" bestFit="1" customWidth="1"/>
    <col min="4" max="4" width="4.1796875" style="1" bestFit="1" customWidth="1"/>
    <col min="5" max="5" width="4.1796875" style="1" customWidth="1"/>
    <col min="6" max="16" width="10.81640625" style="1"/>
    <col min="17" max="19" width="14" style="1" customWidth="1"/>
    <col min="20" max="20" width="11.81640625" style="1" customWidth="1"/>
    <col min="21" max="21" width="11.81640625" style="1" bestFit="1" customWidth="1"/>
    <col min="22" max="22" width="12.1796875" style="1" bestFit="1" customWidth="1"/>
    <col min="23" max="16384" width="10.81640625" style="1"/>
  </cols>
  <sheetData>
    <row r="1" spans="1:24">
      <c r="A1" s="2" t="s">
        <v>8</v>
      </c>
      <c r="B1" s="2" t="s">
        <v>10</v>
      </c>
      <c r="C1" s="2" t="s">
        <v>9</v>
      </c>
      <c r="D1" s="2" t="s">
        <v>3</v>
      </c>
      <c r="E1" s="2" t="s">
        <v>33</v>
      </c>
      <c r="F1" s="2" t="s">
        <v>0</v>
      </c>
      <c r="G1" s="2" t="s">
        <v>25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20</v>
      </c>
      <c r="R1" s="2" t="s">
        <v>26</v>
      </c>
      <c r="S1" s="2" t="s">
        <v>31</v>
      </c>
      <c r="T1" s="2" t="s">
        <v>21</v>
      </c>
      <c r="U1" s="2" t="s">
        <v>22</v>
      </c>
      <c r="V1" s="2" t="s">
        <v>20</v>
      </c>
      <c r="W1" s="2" t="s">
        <v>23</v>
      </c>
      <c r="X1" s="2" t="s">
        <v>41</v>
      </c>
    </row>
    <row r="2" spans="1:24">
      <c r="A2" s="11">
        <v>44130</v>
      </c>
      <c r="B2" s="7">
        <v>26.7</v>
      </c>
      <c r="C2" s="2" t="s">
        <v>30</v>
      </c>
      <c r="D2" s="2">
        <v>14</v>
      </c>
      <c r="E2" s="2"/>
      <c r="F2" s="2"/>
      <c r="G2" s="2" t="s">
        <v>24</v>
      </c>
      <c r="H2" s="8">
        <v>0</v>
      </c>
      <c r="I2" s="10">
        <v>0.49861111111111112</v>
      </c>
      <c r="J2" s="10">
        <v>4.4444444444444446E-2</v>
      </c>
      <c r="K2" s="2">
        <v>66</v>
      </c>
      <c r="L2" s="7">
        <v>2</v>
      </c>
      <c r="M2" s="2">
        <v>96.84</v>
      </c>
      <c r="N2" s="7">
        <f t="shared" ref="N2:N30" si="0">(M2/100)*204.3</f>
        <v>197.84412000000003</v>
      </c>
      <c r="O2" s="2">
        <v>95.76</v>
      </c>
      <c r="P2" s="7">
        <f t="shared" ref="P2:P30" si="1">(O2/100)*204.3</f>
        <v>195.63768000000002</v>
      </c>
      <c r="Q2" s="9">
        <f t="shared" ref="Q2:Q11" si="2">(N2-P2)/(1000*K2)</f>
        <v>3.3430909090909319E-5</v>
      </c>
      <c r="R2" s="9">
        <f>AVERAGE(Q2:Q3)*L2</f>
        <v>5.752001356852161E-5</v>
      </c>
      <c r="S2" s="9">
        <f t="shared" ref="S2:S30" si="3">((L2*(N2-P2))/(1000*K2))</f>
        <v>6.6861818181818638E-5</v>
      </c>
      <c r="T2" s="9"/>
      <c r="U2" s="2"/>
      <c r="V2" s="2"/>
      <c r="W2" s="2"/>
      <c r="X2" s="2">
        <f t="shared" ref="X2:X30" si="4">W2*1000</f>
        <v>0</v>
      </c>
    </row>
    <row r="3" spans="1:24">
      <c r="A3" s="11">
        <v>44130</v>
      </c>
      <c r="B3" s="7">
        <v>26.7</v>
      </c>
      <c r="C3" s="2" t="s">
        <v>30</v>
      </c>
      <c r="D3" s="2">
        <v>18</v>
      </c>
      <c r="E3" s="2"/>
      <c r="F3" s="2"/>
      <c r="G3" s="2" t="s">
        <v>24</v>
      </c>
      <c r="H3" s="8">
        <v>0</v>
      </c>
      <c r="I3" s="10">
        <v>0.50138888888888888</v>
      </c>
      <c r="J3" s="10">
        <v>4.7916666666666663E-2</v>
      </c>
      <c r="K3" s="2">
        <v>67</v>
      </c>
      <c r="L3" s="7">
        <v>2</v>
      </c>
      <c r="M3" s="2">
        <v>96.84</v>
      </c>
      <c r="N3" s="7">
        <f t="shared" si="0"/>
        <v>197.84412000000003</v>
      </c>
      <c r="O3" s="2">
        <v>96.05</v>
      </c>
      <c r="P3" s="7">
        <f t="shared" si="1"/>
        <v>196.23015000000001</v>
      </c>
      <c r="Q3" s="9">
        <f t="shared" si="2"/>
        <v>2.4089104477612287E-5</v>
      </c>
      <c r="R3" s="2"/>
      <c r="S3" s="9">
        <f t="shared" si="3"/>
        <v>4.8178208955224575E-5</v>
      </c>
      <c r="T3" s="9"/>
      <c r="U3" s="2"/>
      <c r="V3" s="2"/>
      <c r="W3" s="2"/>
      <c r="X3" s="2">
        <f t="shared" si="4"/>
        <v>0</v>
      </c>
    </row>
    <row r="4" spans="1:24">
      <c r="A4" s="11">
        <v>44130</v>
      </c>
      <c r="B4" s="7">
        <v>26.7</v>
      </c>
      <c r="C4" s="2" t="s">
        <v>30</v>
      </c>
      <c r="D4" s="2">
        <v>16</v>
      </c>
      <c r="E4" s="2"/>
      <c r="F4" s="2"/>
      <c r="G4" s="2" t="s">
        <v>24</v>
      </c>
      <c r="H4" s="8">
        <v>0</v>
      </c>
      <c r="I4" s="10">
        <v>0.52361111111111114</v>
      </c>
      <c r="J4" s="10">
        <v>8.8888888888888892E-2</v>
      </c>
      <c r="K4" s="2">
        <v>94</v>
      </c>
      <c r="L4" s="7">
        <v>2</v>
      </c>
      <c r="M4" s="2">
        <v>103.67</v>
      </c>
      <c r="N4" s="7">
        <f t="shared" si="0"/>
        <v>211.79781</v>
      </c>
      <c r="O4" s="2">
        <v>97.87</v>
      </c>
      <c r="P4" s="7">
        <f t="shared" si="1"/>
        <v>199.94841000000002</v>
      </c>
      <c r="Q4" s="9">
        <f t="shared" si="2"/>
        <v>1.2605744680851036E-4</v>
      </c>
      <c r="R4" s="9">
        <f>AVERAGE(Q4:Q5)*L4</f>
        <v>2.8384659574468051E-4</v>
      </c>
      <c r="S4" s="9">
        <f t="shared" si="3"/>
        <v>2.5211489361702072E-4</v>
      </c>
      <c r="T4" s="9"/>
      <c r="U4" s="2"/>
      <c r="V4" s="2"/>
      <c r="W4" s="2"/>
      <c r="X4" s="2">
        <f t="shared" si="4"/>
        <v>0</v>
      </c>
    </row>
    <row r="5" spans="1:24">
      <c r="A5" s="11">
        <v>44130</v>
      </c>
      <c r="B5" s="7">
        <v>26.7</v>
      </c>
      <c r="C5" s="2" t="s">
        <v>30</v>
      </c>
      <c r="D5" s="2">
        <v>50</v>
      </c>
      <c r="E5" s="2"/>
      <c r="F5" s="2"/>
      <c r="G5" s="2" t="s">
        <v>24</v>
      </c>
      <c r="H5" s="8">
        <v>0</v>
      </c>
      <c r="I5" s="10">
        <v>0.52708333333333335</v>
      </c>
      <c r="J5" s="10">
        <v>9.2361111111111116E-2</v>
      </c>
      <c r="K5" s="2">
        <v>94</v>
      </c>
      <c r="L5" s="7">
        <v>2</v>
      </c>
      <c r="M5" s="2">
        <v>103.67</v>
      </c>
      <c r="N5" s="7">
        <f t="shared" si="0"/>
        <v>211.79781</v>
      </c>
      <c r="O5" s="2">
        <v>96.41</v>
      </c>
      <c r="P5" s="7">
        <f t="shared" si="1"/>
        <v>196.96563</v>
      </c>
      <c r="Q5" s="9">
        <f t="shared" si="2"/>
        <v>1.5778914893617015E-4</v>
      </c>
      <c r="R5" s="2"/>
      <c r="S5" s="9">
        <f t="shared" si="3"/>
        <v>3.155782978723403E-4</v>
      </c>
      <c r="T5" s="9"/>
      <c r="U5" s="2"/>
      <c r="V5" s="2"/>
      <c r="W5" s="2"/>
      <c r="X5" s="2">
        <f t="shared" si="4"/>
        <v>0</v>
      </c>
    </row>
    <row r="6" spans="1:24">
      <c r="A6" s="11">
        <v>44130</v>
      </c>
      <c r="B6" s="7">
        <v>26.7</v>
      </c>
      <c r="C6" s="2" t="s">
        <v>30</v>
      </c>
      <c r="D6" s="2">
        <v>11</v>
      </c>
      <c r="E6" s="2"/>
      <c r="F6" s="2"/>
      <c r="G6" s="2" t="s">
        <v>24</v>
      </c>
      <c r="H6" s="8">
        <v>0</v>
      </c>
      <c r="I6" s="10">
        <v>5.9722222222222225E-2</v>
      </c>
      <c r="J6" s="10">
        <v>0.11666666666666665</v>
      </c>
      <c r="K6" s="2">
        <v>82</v>
      </c>
      <c r="L6" s="7">
        <v>2</v>
      </c>
      <c r="M6" s="7">
        <v>98.9</v>
      </c>
      <c r="N6" s="7">
        <f t="shared" si="0"/>
        <v>202.05270000000004</v>
      </c>
      <c r="O6" s="2">
        <v>96.61</v>
      </c>
      <c r="P6" s="7">
        <f t="shared" si="1"/>
        <v>197.37423000000001</v>
      </c>
      <c r="Q6" s="9">
        <f t="shared" si="2"/>
        <v>5.7054512195122354E-5</v>
      </c>
      <c r="R6" s="9">
        <f>AVERAGE(Q6:Q7)*L6</f>
        <v>8.2323196405649507E-5</v>
      </c>
      <c r="S6" s="9">
        <f t="shared" si="3"/>
        <v>1.1410902439024471E-4</v>
      </c>
      <c r="T6" s="9"/>
      <c r="U6" s="2"/>
      <c r="V6" s="2"/>
      <c r="W6" s="2"/>
      <c r="X6" s="2">
        <f t="shared" si="4"/>
        <v>0</v>
      </c>
    </row>
    <row r="7" spans="1:24">
      <c r="A7" s="11">
        <v>44130</v>
      </c>
      <c r="B7" s="7">
        <v>26.7</v>
      </c>
      <c r="C7" s="2" t="s">
        <v>30</v>
      </c>
      <c r="D7" s="2">
        <v>36</v>
      </c>
      <c r="E7" s="2"/>
      <c r="F7" s="2"/>
      <c r="G7" s="2" t="s">
        <v>24</v>
      </c>
      <c r="H7" s="8">
        <v>0</v>
      </c>
      <c r="I7" s="10">
        <v>6.7361111111111108E-2</v>
      </c>
      <c r="J7" s="10">
        <v>0.12013888888888889</v>
      </c>
      <c r="K7" s="2">
        <v>76</v>
      </c>
      <c r="L7" s="7">
        <v>2</v>
      </c>
      <c r="M7" s="7">
        <v>98.9</v>
      </c>
      <c r="N7" s="7">
        <f t="shared" si="0"/>
        <v>202.05270000000004</v>
      </c>
      <c r="O7" s="2">
        <v>97.96</v>
      </c>
      <c r="P7" s="7">
        <f t="shared" si="1"/>
        <v>200.13227999999998</v>
      </c>
      <c r="Q7" s="9">
        <f t="shared" si="2"/>
        <v>2.5268684210527156E-5</v>
      </c>
      <c r="R7" s="2"/>
      <c r="S7" s="9">
        <f t="shared" si="3"/>
        <v>5.0537368421054312E-5</v>
      </c>
      <c r="T7" s="9"/>
      <c r="U7" s="2"/>
      <c r="V7" s="2"/>
      <c r="W7" s="2"/>
      <c r="X7" s="2">
        <f t="shared" si="4"/>
        <v>0</v>
      </c>
    </row>
    <row r="8" spans="1:24">
      <c r="A8" s="11">
        <v>44130</v>
      </c>
      <c r="B8" s="7">
        <v>26.7</v>
      </c>
      <c r="C8" s="2" t="s">
        <v>30</v>
      </c>
      <c r="D8" s="2">
        <v>7</v>
      </c>
      <c r="E8" s="2"/>
      <c r="F8" s="2"/>
      <c r="G8" s="2" t="s">
        <v>24</v>
      </c>
      <c r="H8" s="8">
        <v>0</v>
      </c>
      <c r="I8" s="10">
        <v>0.22708333333333333</v>
      </c>
      <c r="J8" s="10">
        <v>0.30069444444444443</v>
      </c>
      <c r="K8" s="2">
        <v>106</v>
      </c>
      <c r="L8" s="7">
        <v>2</v>
      </c>
      <c r="M8" s="2">
        <v>98.99</v>
      </c>
      <c r="N8" s="7">
        <f t="shared" si="0"/>
        <v>202.23657</v>
      </c>
      <c r="O8" s="2">
        <v>98.72</v>
      </c>
      <c r="P8" s="7">
        <f t="shared" si="1"/>
        <v>201.68496000000002</v>
      </c>
      <c r="Q8" s="9">
        <f t="shared" si="2"/>
        <v>5.2038679245281356E-6</v>
      </c>
      <c r="R8" s="9">
        <f>AVERAGE(Q8:Q9)*L8</f>
        <v>3.4921445918134977E-7</v>
      </c>
      <c r="S8" s="9">
        <f t="shared" si="3"/>
        <v>1.0407735849056271E-5</v>
      </c>
      <c r="T8" s="9"/>
      <c r="U8" s="2"/>
      <c r="V8" s="2"/>
      <c r="W8" s="2"/>
      <c r="X8" s="2">
        <f t="shared" si="4"/>
        <v>0</v>
      </c>
    </row>
    <row r="9" spans="1:24">
      <c r="A9" s="11">
        <v>44130</v>
      </c>
      <c r="B9" s="7">
        <v>26.7</v>
      </c>
      <c r="C9" s="2" t="s">
        <v>30</v>
      </c>
      <c r="D9" s="2">
        <v>1</v>
      </c>
      <c r="E9" s="2"/>
      <c r="F9" s="2"/>
      <c r="G9" s="2" t="s">
        <v>24</v>
      </c>
      <c r="H9" s="8">
        <v>0</v>
      </c>
      <c r="I9" s="10">
        <v>0.2388888888888889</v>
      </c>
      <c r="J9" s="10">
        <v>0.30902777777777779</v>
      </c>
      <c r="K9" s="2">
        <v>101</v>
      </c>
      <c r="L9" s="7">
        <v>2</v>
      </c>
      <c r="M9" s="2">
        <v>98.99</v>
      </c>
      <c r="N9" s="7">
        <f t="shared" si="0"/>
        <v>202.23657</v>
      </c>
      <c r="O9" s="2">
        <v>99.23</v>
      </c>
      <c r="P9" s="7">
        <f t="shared" si="1"/>
        <v>202.72689000000003</v>
      </c>
      <c r="Q9" s="9">
        <f t="shared" si="2"/>
        <v>-4.8546534653467858E-6</v>
      </c>
      <c r="R9" s="2"/>
      <c r="S9" s="9">
        <f t="shared" si="3"/>
        <v>-9.7093069306935716E-6</v>
      </c>
      <c r="T9" s="9"/>
      <c r="U9" s="2"/>
      <c r="V9" s="2"/>
      <c r="W9" s="2"/>
      <c r="X9" s="2">
        <f t="shared" si="4"/>
        <v>0</v>
      </c>
    </row>
    <row r="10" spans="1:24">
      <c r="A10" s="11">
        <v>44130</v>
      </c>
      <c r="B10" s="7">
        <v>26.7</v>
      </c>
      <c r="C10" s="2" t="s">
        <v>30</v>
      </c>
      <c r="D10" s="2">
        <v>17</v>
      </c>
      <c r="E10" s="2"/>
      <c r="F10" s="2"/>
      <c r="G10" s="2" t="s">
        <v>24</v>
      </c>
      <c r="H10" s="8">
        <v>0</v>
      </c>
      <c r="I10" s="10">
        <v>0.27499999999999997</v>
      </c>
      <c r="J10" s="10">
        <v>0.3354166666666667</v>
      </c>
      <c r="K10" s="2">
        <v>87</v>
      </c>
      <c r="L10" s="7">
        <v>2</v>
      </c>
      <c r="M10" s="2">
        <v>98.98</v>
      </c>
      <c r="N10" s="7">
        <f t="shared" si="0"/>
        <v>202.21614000000002</v>
      </c>
      <c r="O10" s="2">
        <v>99.27</v>
      </c>
      <c r="P10" s="7">
        <f t="shared" si="1"/>
        <v>202.80860999999999</v>
      </c>
      <c r="Q10" s="9">
        <f t="shared" si="2"/>
        <v>-6.8099999999995774E-6</v>
      </c>
      <c r="R10" s="9">
        <f>AVERAGE(Q10:Q11)*L10</f>
        <v>2.5399459459459986E-5</v>
      </c>
      <c r="S10" s="9">
        <f t="shared" si="3"/>
        <v>-1.3619999999999155E-5</v>
      </c>
      <c r="T10" s="9"/>
      <c r="U10" s="2"/>
      <c r="V10" s="2"/>
      <c r="W10" s="2"/>
      <c r="X10" s="2">
        <f t="shared" si="4"/>
        <v>0</v>
      </c>
    </row>
    <row r="11" spans="1:24">
      <c r="A11" s="11">
        <v>44130</v>
      </c>
      <c r="B11" s="7">
        <v>26.7</v>
      </c>
      <c r="C11" s="2" t="s">
        <v>30</v>
      </c>
      <c r="D11" s="2">
        <v>8</v>
      </c>
      <c r="E11" s="2"/>
      <c r="F11" s="2"/>
      <c r="G11" s="2" t="s">
        <v>24</v>
      </c>
      <c r="H11" s="8">
        <v>0</v>
      </c>
      <c r="I11" s="10">
        <v>0.28819444444444448</v>
      </c>
      <c r="J11" s="10">
        <v>0.36527777777777781</v>
      </c>
      <c r="K11" s="2">
        <v>111</v>
      </c>
      <c r="L11" s="7">
        <v>2</v>
      </c>
      <c r="M11" s="2">
        <v>98.98</v>
      </c>
      <c r="N11" s="7">
        <f t="shared" si="0"/>
        <v>202.21614000000002</v>
      </c>
      <c r="O11" s="2">
        <v>97.23</v>
      </c>
      <c r="P11" s="7">
        <f t="shared" si="1"/>
        <v>198.64089000000001</v>
      </c>
      <c r="Q11" s="9">
        <f t="shared" si="2"/>
        <v>3.2209459459459563E-5</v>
      </c>
      <c r="R11" s="2"/>
      <c r="S11" s="9">
        <f t="shared" si="3"/>
        <v>6.4418918918919126E-5</v>
      </c>
      <c r="T11" s="9"/>
      <c r="U11" s="2"/>
      <c r="V11" s="2"/>
      <c r="W11" s="2"/>
      <c r="X11" s="2">
        <f t="shared" si="4"/>
        <v>0</v>
      </c>
    </row>
    <row r="12" spans="1:24">
      <c r="A12" s="11">
        <v>44130</v>
      </c>
      <c r="B12" s="7">
        <v>26.7</v>
      </c>
      <c r="C12" s="2" t="s">
        <v>30</v>
      </c>
      <c r="D12" s="2">
        <v>4</v>
      </c>
      <c r="E12" s="2" t="s">
        <v>34</v>
      </c>
      <c r="F12" s="2"/>
      <c r="G12" s="2" t="s">
        <v>2</v>
      </c>
      <c r="H12" s="8">
        <v>6</v>
      </c>
      <c r="I12" s="10">
        <v>0.5</v>
      </c>
      <c r="J12" s="10">
        <v>5.1388888888888894E-2</v>
      </c>
      <c r="K12" s="2">
        <v>74</v>
      </c>
      <c r="L12" s="7">
        <v>2</v>
      </c>
      <c r="M12" s="2">
        <v>96.84</v>
      </c>
      <c r="N12" s="7">
        <f t="shared" si="0"/>
        <v>197.84412000000003</v>
      </c>
      <c r="O12" s="2">
        <v>86.13</v>
      </c>
      <c r="P12" s="7">
        <f t="shared" si="1"/>
        <v>175.96359000000001</v>
      </c>
      <c r="Q12" s="2"/>
      <c r="R12" s="2"/>
      <c r="S12" s="9">
        <f t="shared" si="3"/>
        <v>5.9136567567567627E-4</v>
      </c>
      <c r="T12" s="9">
        <f>((L12*(N12-P12))/(1000*K12))-$R$2</f>
        <v>5.3384566210715472E-4</v>
      </c>
      <c r="U12" s="2">
        <f t="shared" ref="U12:U30" si="5">T12/H12</f>
        <v>8.8974277017859124E-5</v>
      </c>
      <c r="V12" s="2">
        <f t="shared" ref="V12:V30" si="6">T12/L12</f>
        <v>2.6692283105357736E-4</v>
      </c>
      <c r="W12" s="2">
        <f t="shared" ref="W12:W30" si="7">U12*1000</f>
        <v>8.8974277017859121E-2</v>
      </c>
      <c r="X12" s="2">
        <f t="shared" si="4"/>
        <v>88.974277017859123</v>
      </c>
    </row>
    <row r="13" spans="1:24">
      <c r="A13" s="11">
        <v>44130</v>
      </c>
      <c r="B13" s="7">
        <v>26.7</v>
      </c>
      <c r="C13" s="2" t="s">
        <v>30</v>
      </c>
      <c r="D13" s="2">
        <v>20</v>
      </c>
      <c r="E13" s="2" t="s">
        <v>34</v>
      </c>
      <c r="F13" s="2"/>
      <c r="G13" s="2" t="s">
        <v>2</v>
      </c>
      <c r="H13" s="8">
        <v>6</v>
      </c>
      <c r="I13" s="10">
        <v>0.52430555555555558</v>
      </c>
      <c r="J13" s="10">
        <v>7.1527777777777787E-2</v>
      </c>
      <c r="K13" s="2">
        <v>68</v>
      </c>
      <c r="L13" s="7">
        <v>2</v>
      </c>
      <c r="M13" s="2">
        <v>103.67</v>
      </c>
      <c r="N13" s="7">
        <f t="shared" si="0"/>
        <v>211.79781</v>
      </c>
      <c r="O13" s="2">
        <v>90.54</v>
      </c>
      <c r="P13" s="7">
        <f t="shared" si="1"/>
        <v>184.97322000000003</v>
      </c>
      <c r="Q13" s="2"/>
      <c r="R13" s="2"/>
      <c r="S13" s="9">
        <f t="shared" si="3"/>
        <v>7.8895852941176386E-4</v>
      </c>
      <c r="T13" s="9">
        <f>((L13*(N13-P13))/(1000*K13))-$R$7</f>
        <v>7.8895852941176386E-4</v>
      </c>
      <c r="U13" s="2">
        <f t="shared" si="5"/>
        <v>1.3149308823529399E-4</v>
      </c>
      <c r="V13" s="2">
        <f t="shared" si="6"/>
        <v>3.9447926470588193E-4</v>
      </c>
      <c r="W13" s="2">
        <f t="shared" si="7"/>
        <v>0.13149308823529399</v>
      </c>
      <c r="X13" s="2">
        <f t="shared" si="4"/>
        <v>131.49308823529398</v>
      </c>
    </row>
    <row r="14" spans="1:24">
      <c r="A14" s="11">
        <v>44130</v>
      </c>
      <c r="B14" s="7">
        <v>26.7</v>
      </c>
      <c r="C14" s="2" t="s">
        <v>30</v>
      </c>
      <c r="D14" s="2">
        <v>43</v>
      </c>
      <c r="E14" s="2" t="s">
        <v>34</v>
      </c>
      <c r="F14" s="2"/>
      <c r="G14" s="2" t="s">
        <v>2</v>
      </c>
      <c r="H14" s="8">
        <v>6</v>
      </c>
      <c r="I14" s="10">
        <v>6.5972222222222224E-2</v>
      </c>
      <c r="J14" s="10">
        <v>0.12916666666666668</v>
      </c>
      <c r="K14" s="2">
        <v>91</v>
      </c>
      <c r="L14" s="7">
        <v>2</v>
      </c>
      <c r="M14" s="7">
        <v>98.9</v>
      </c>
      <c r="N14" s="7">
        <f t="shared" si="0"/>
        <v>202.05270000000004</v>
      </c>
      <c r="O14" s="2">
        <v>87.31</v>
      </c>
      <c r="P14" s="7">
        <f t="shared" si="1"/>
        <v>178.37433000000001</v>
      </c>
      <c r="Q14" s="2"/>
      <c r="R14" s="2"/>
      <c r="S14" s="9">
        <f t="shared" si="3"/>
        <v>5.2040373626373695E-4</v>
      </c>
      <c r="T14" s="9">
        <f>((L14*(N14-P14))/(1000*K14))-$R$12</f>
        <v>5.2040373626373695E-4</v>
      </c>
      <c r="U14" s="2">
        <f t="shared" si="5"/>
        <v>8.6733956043956158E-5</v>
      </c>
      <c r="V14" s="2">
        <f t="shared" si="6"/>
        <v>2.6020186813186847E-4</v>
      </c>
      <c r="W14" s="2">
        <f t="shared" si="7"/>
        <v>8.6733956043956159E-2</v>
      </c>
      <c r="X14" s="2">
        <f t="shared" si="4"/>
        <v>86.733956043956155</v>
      </c>
    </row>
    <row r="15" spans="1:24">
      <c r="A15" s="11">
        <v>44130</v>
      </c>
      <c r="B15" s="7">
        <v>26.7</v>
      </c>
      <c r="C15" s="2" t="s">
        <v>30</v>
      </c>
      <c r="D15" s="2">
        <v>47</v>
      </c>
      <c r="E15" s="2" t="s">
        <v>34</v>
      </c>
      <c r="F15" s="2"/>
      <c r="G15" s="2" t="s">
        <v>2</v>
      </c>
      <c r="H15" s="8">
        <v>6</v>
      </c>
      <c r="I15" s="10">
        <v>0.22916666666666666</v>
      </c>
      <c r="J15" s="10">
        <v>0.27916666666666667</v>
      </c>
      <c r="K15" s="2">
        <v>72</v>
      </c>
      <c r="L15" s="7">
        <v>2</v>
      </c>
      <c r="M15" s="2">
        <v>98.99</v>
      </c>
      <c r="N15" s="7">
        <f t="shared" si="0"/>
        <v>202.23657</v>
      </c>
      <c r="O15" s="2">
        <v>90.1</v>
      </c>
      <c r="P15" s="7">
        <f t="shared" si="1"/>
        <v>184.07429999999999</v>
      </c>
      <c r="Q15" s="2"/>
      <c r="R15" s="2"/>
      <c r="S15" s="9">
        <f t="shared" si="3"/>
        <v>5.0450750000000013E-4</v>
      </c>
      <c r="T15" s="9">
        <f>((L15*(N15-P15))/(1000*K15))-$R$17</f>
        <v>5.0450750000000013E-4</v>
      </c>
      <c r="U15" s="2">
        <f t="shared" si="5"/>
        <v>8.4084583333333355E-5</v>
      </c>
      <c r="V15" s="2">
        <f t="shared" si="6"/>
        <v>2.5225375000000006E-4</v>
      </c>
      <c r="W15" s="2">
        <f t="shared" si="7"/>
        <v>8.4084583333333351E-2</v>
      </c>
      <c r="X15" s="2">
        <f t="shared" si="4"/>
        <v>84.084583333333356</v>
      </c>
    </row>
    <row r="16" spans="1:24">
      <c r="A16" s="11">
        <v>44130</v>
      </c>
      <c r="B16" s="7">
        <v>26.7</v>
      </c>
      <c r="C16" s="2" t="s">
        <v>30</v>
      </c>
      <c r="D16" s="2">
        <v>23</v>
      </c>
      <c r="E16" s="2" t="s">
        <v>34</v>
      </c>
      <c r="F16" s="2"/>
      <c r="G16" s="2" t="s">
        <v>2</v>
      </c>
      <c r="H16" s="8">
        <v>6</v>
      </c>
      <c r="I16" s="10">
        <v>0.24027777777777778</v>
      </c>
      <c r="J16" s="10">
        <v>0.31597222222222221</v>
      </c>
      <c r="K16" s="2">
        <v>109</v>
      </c>
      <c r="L16" s="7">
        <v>2</v>
      </c>
      <c r="M16" s="2">
        <v>98.99</v>
      </c>
      <c r="N16" s="7">
        <f t="shared" si="0"/>
        <v>202.23657</v>
      </c>
      <c r="O16" s="2">
        <v>86.65</v>
      </c>
      <c r="P16" s="7">
        <f t="shared" si="1"/>
        <v>177.02595000000002</v>
      </c>
      <c r="Q16" s="2"/>
      <c r="R16" s="2"/>
      <c r="S16" s="9">
        <f t="shared" si="3"/>
        <v>4.6258018348623812E-4</v>
      </c>
      <c r="T16" s="9">
        <f>((L16*(N16-P16))/(1000*K16))-$R$17</f>
        <v>4.6258018348623812E-4</v>
      </c>
      <c r="U16" s="2">
        <f t="shared" si="5"/>
        <v>7.7096697247706358E-5</v>
      </c>
      <c r="V16" s="2">
        <f t="shared" si="6"/>
        <v>2.3129009174311906E-4</v>
      </c>
      <c r="W16" s="2">
        <f t="shared" si="7"/>
        <v>7.7096697247706361E-2</v>
      </c>
      <c r="X16" s="2">
        <f t="shared" si="4"/>
        <v>77.096697247706359</v>
      </c>
    </row>
    <row r="17" spans="1:24">
      <c r="A17" s="11">
        <v>44130</v>
      </c>
      <c r="B17" s="7">
        <v>26.7</v>
      </c>
      <c r="C17" s="2" t="s">
        <v>30</v>
      </c>
      <c r="D17" s="2">
        <v>26</v>
      </c>
      <c r="E17" s="2" t="s">
        <v>34</v>
      </c>
      <c r="F17" s="2"/>
      <c r="G17" s="2" t="s">
        <v>2</v>
      </c>
      <c r="H17" s="8">
        <v>6</v>
      </c>
      <c r="I17" s="10">
        <v>0.28819444444444448</v>
      </c>
      <c r="J17" s="10">
        <v>0.36319444444444443</v>
      </c>
      <c r="K17" s="8">
        <v>108</v>
      </c>
      <c r="L17" s="7">
        <v>2</v>
      </c>
      <c r="M17" s="2">
        <v>98.98</v>
      </c>
      <c r="N17" s="7">
        <f t="shared" si="0"/>
        <v>202.21614000000002</v>
      </c>
      <c r="O17" s="2">
        <v>84.79</v>
      </c>
      <c r="P17" s="7">
        <f t="shared" si="1"/>
        <v>173.22597000000002</v>
      </c>
      <c r="Q17" s="2"/>
      <c r="R17" s="2"/>
      <c r="S17" s="9">
        <f t="shared" si="3"/>
        <v>5.3685500000000014E-4</v>
      </c>
      <c r="T17" s="9">
        <f>((L17*(N17-P17))/(1000*K17))-$R$12</f>
        <v>5.3685500000000014E-4</v>
      </c>
      <c r="U17" s="2">
        <f t="shared" si="5"/>
        <v>8.9475833333333362E-5</v>
      </c>
      <c r="V17" s="2">
        <f t="shared" si="6"/>
        <v>2.6842750000000007E-4</v>
      </c>
      <c r="W17" s="2">
        <f t="shared" si="7"/>
        <v>8.9475833333333366E-2</v>
      </c>
      <c r="X17" s="2">
        <f t="shared" si="4"/>
        <v>89.47583333333337</v>
      </c>
    </row>
    <row r="18" spans="1:24">
      <c r="A18" s="11">
        <v>44130</v>
      </c>
      <c r="B18" s="7">
        <v>26.7</v>
      </c>
      <c r="C18" s="2" t="s">
        <v>30</v>
      </c>
      <c r="D18" s="2">
        <v>33</v>
      </c>
      <c r="E18" s="2" t="s">
        <v>34</v>
      </c>
      <c r="F18" s="2"/>
      <c r="G18" s="2" t="s">
        <v>5</v>
      </c>
      <c r="H18" s="8">
        <v>6</v>
      </c>
      <c r="I18" s="10">
        <v>0.49861111111111112</v>
      </c>
      <c r="J18" s="10">
        <v>0.53819444444444442</v>
      </c>
      <c r="K18" s="2">
        <v>57</v>
      </c>
      <c r="L18" s="7">
        <v>2</v>
      </c>
      <c r="M18" s="2">
        <v>96.84</v>
      </c>
      <c r="N18" s="7">
        <f t="shared" si="0"/>
        <v>197.84412000000003</v>
      </c>
      <c r="O18" s="2">
        <v>89.18</v>
      </c>
      <c r="P18" s="7">
        <f t="shared" si="1"/>
        <v>182.19474000000002</v>
      </c>
      <c r="Q18" s="2"/>
      <c r="R18" s="2"/>
      <c r="S18" s="9">
        <f t="shared" si="3"/>
        <v>5.4910105263157919E-4</v>
      </c>
      <c r="T18" s="9">
        <f>((L18*(N18-P18))/(1000*K18))-$R$2</f>
        <v>4.9158103906305753E-4</v>
      </c>
      <c r="U18" s="2">
        <f t="shared" si="5"/>
        <v>8.193017317717625E-5</v>
      </c>
      <c r="V18" s="2">
        <f t="shared" si="6"/>
        <v>2.4579051953152876E-4</v>
      </c>
      <c r="W18" s="2">
        <f t="shared" si="7"/>
        <v>8.1930173177176255E-2</v>
      </c>
      <c r="X18" s="2">
        <f t="shared" si="4"/>
        <v>81.930173177176258</v>
      </c>
    </row>
    <row r="19" spans="1:24">
      <c r="A19" s="11">
        <v>44130</v>
      </c>
      <c r="B19" s="7">
        <v>26.7</v>
      </c>
      <c r="C19" s="2" t="s">
        <v>30</v>
      </c>
      <c r="D19" s="2">
        <v>3</v>
      </c>
      <c r="E19" s="2" t="s">
        <v>34</v>
      </c>
      <c r="F19" s="2"/>
      <c r="G19" s="2" t="s">
        <v>5</v>
      </c>
      <c r="H19" s="8">
        <v>6</v>
      </c>
      <c r="I19" s="10">
        <v>0.52500000000000002</v>
      </c>
      <c r="J19" s="10">
        <v>8.0555555555555561E-2</v>
      </c>
      <c r="K19" s="2">
        <v>80</v>
      </c>
      <c r="L19" s="7">
        <v>2</v>
      </c>
      <c r="M19" s="2">
        <v>103.67</v>
      </c>
      <c r="N19" s="7">
        <f t="shared" si="0"/>
        <v>211.79781</v>
      </c>
      <c r="O19" s="2">
        <v>86.98</v>
      </c>
      <c r="P19" s="7">
        <f t="shared" si="1"/>
        <v>177.70014</v>
      </c>
      <c r="Q19" s="2"/>
      <c r="R19" s="2"/>
      <c r="S19" s="9">
        <f t="shared" si="3"/>
        <v>8.5244174999999983E-4</v>
      </c>
      <c r="T19" s="9">
        <f>((L19*(N19-P19))/(1000*K19))-$R$7</f>
        <v>8.5244174999999983E-4</v>
      </c>
      <c r="U19" s="2">
        <f t="shared" si="5"/>
        <v>1.4207362499999996E-4</v>
      </c>
      <c r="V19" s="2">
        <f t="shared" si="6"/>
        <v>4.2622087499999991E-4</v>
      </c>
      <c r="W19" s="2">
        <f t="shared" si="7"/>
        <v>0.14207362499999995</v>
      </c>
      <c r="X19" s="2">
        <f t="shared" si="4"/>
        <v>142.07362499999996</v>
      </c>
    </row>
    <row r="20" spans="1:24">
      <c r="A20" s="11">
        <v>44130</v>
      </c>
      <c r="B20" s="7">
        <v>26.7</v>
      </c>
      <c r="C20" s="2" t="s">
        <v>30</v>
      </c>
      <c r="D20" s="2">
        <v>42</v>
      </c>
      <c r="E20" s="2"/>
      <c r="F20" s="2"/>
      <c r="G20" s="2" t="s">
        <v>5</v>
      </c>
      <c r="H20" s="8">
        <v>6</v>
      </c>
      <c r="I20" s="10">
        <v>6.6666666666666666E-2</v>
      </c>
      <c r="J20" s="10">
        <v>0.12569444444444444</v>
      </c>
      <c r="K20" s="2">
        <v>85</v>
      </c>
      <c r="L20" s="7">
        <v>2</v>
      </c>
      <c r="M20" s="7">
        <v>98.9</v>
      </c>
      <c r="N20" s="7">
        <f t="shared" si="0"/>
        <v>202.05270000000004</v>
      </c>
      <c r="O20" s="2">
        <v>87.35</v>
      </c>
      <c r="P20" s="7">
        <f t="shared" si="1"/>
        <v>178.45605</v>
      </c>
      <c r="Q20" s="2"/>
      <c r="R20" s="2"/>
      <c r="S20" s="9">
        <f t="shared" si="3"/>
        <v>5.5521529411764795E-4</v>
      </c>
      <c r="T20" s="9">
        <f>((L20*(N20-P20))/(1000*K20))-$R$12</f>
        <v>5.5521529411764795E-4</v>
      </c>
      <c r="U20" s="2">
        <f t="shared" si="5"/>
        <v>9.253588235294133E-5</v>
      </c>
      <c r="V20" s="2">
        <f t="shared" si="6"/>
        <v>2.7760764705882398E-4</v>
      </c>
      <c r="W20" s="2">
        <f t="shared" si="7"/>
        <v>9.2535882352941329E-2</v>
      </c>
      <c r="X20" s="2">
        <f t="shared" si="4"/>
        <v>92.535882352941329</v>
      </c>
    </row>
    <row r="21" spans="1:24">
      <c r="A21" s="11">
        <v>44130</v>
      </c>
      <c r="B21" s="7">
        <v>26.7</v>
      </c>
      <c r="C21" s="2" t="s">
        <v>30</v>
      </c>
      <c r="D21" s="2">
        <v>35</v>
      </c>
      <c r="E21" s="2" t="s">
        <v>34</v>
      </c>
      <c r="F21" s="2"/>
      <c r="G21" s="2" t="s">
        <v>5</v>
      </c>
      <c r="H21" s="8">
        <v>6</v>
      </c>
      <c r="I21" s="10">
        <v>0.23263888888888887</v>
      </c>
      <c r="J21" s="10">
        <v>0.29236111111111113</v>
      </c>
      <c r="K21" s="2">
        <v>86</v>
      </c>
      <c r="L21" s="7">
        <v>2</v>
      </c>
      <c r="M21" s="2">
        <v>98.99</v>
      </c>
      <c r="N21" s="7">
        <f t="shared" si="0"/>
        <v>202.23657</v>
      </c>
      <c r="O21" s="2">
        <v>89.63</v>
      </c>
      <c r="P21" s="7">
        <f t="shared" si="1"/>
        <v>183.11409</v>
      </c>
      <c r="Q21" s="2"/>
      <c r="R21" s="2"/>
      <c r="S21" s="9">
        <f t="shared" si="3"/>
        <v>4.4470883720930225E-4</v>
      </c>
      <c r="T21" s="9">
        <f>((L21*(N21-P21))/(1000*K21))-$R$17</f>
        <v>4.4470883720930225E-4</v>
      </c>
      <c r="U21" s="2">
        <f t="shared" si="5"/>
        <v>7.4118139534883713E-5</v>
      </c>
      <c r="V21" s="2">
        <f t="shared" si="6"/>
        <v>2.2235441860465112E-4</v>
      </c>
      <c r="W21" s="2">
        <f t="shared" si="7"/>
        <v>7.4118139534883706E-2</v>
      </c>
      <c r="X21" s="2">
        <f t="shared" si="4"/>
        <v>74.11813953488371</v>
      </c>
    </row>
    <row r="22" spans="1:24">
      <c r="A22" s="11">
        <v>44130</v>
      </c>
      <c r="B22" s="7">
        <v>26.7</v>
      </c>
      <c r="C22" s="2" t="s">
        <v>30</v>
      </c>
      <c r="D22" s="2">
        <v>40</v>
      </c>
      <c r="E22" s="2" t="s">
        <v>34</v>
      </c>
      <c r="F22" s="2"/>
      <c r="G22" s="2" t="s">
        <v>5</v>
      </c>
      <c r="H22" s="8">
        <v>6</v>
      </c>
      <c r="I22" s="10">
        <v>0.27638888888888885</v>
      </c>
      <c r="J22" s="10">
        <v>0.33055555555555555</v>
      </c>
      <c r="K22" s="2">
        <v>78</v>
      </c>
      <c r="L22" s="7">
        <v>2</v>
      </c>
      <c r="M22" s="2">
        <v>98.98</v>
      </c>
      <c r="N22" s="7">
        <f t="shared" si="0"/>
        <v>202.21614000000002</v>
      </c>
      <c r="O22" s="2">
        <v>90.08</v>
      </c>
      <c r="P22" s="7">
        <f t="shared" si="1"/>
        <v>184.03343999999998</v>
      </c>
      <c r="Q22" s="2"/>
      <c r="R22" s="2"/>
      <c r="S22" s="9">
        <f t="shared" si="3"/>
        <v>4.6622307692307792E-4</v>
      </c>
      <c r="T22" s="9">
        <f>((L22*(N22-P22))/(1000*K22))-$R$25</f>
        <v>4.6622307692307792E-4</v>
      </c>
      <c r="U22" s="2">
        <f t="shared" si="5"/>
        <v>7.7703846153846315E-5</v>
      </c>
      <c r="V22" s="2">
        <f t="shared" si="6"/>
        <v>2.3311153846153896E-4</v>
      </c>
      <c r="W22" s="2">
        <f t="shared" si="7"/>
        <v>7.7703846153846318E-2</v>
      </c>
      <c r="X22" s="2">
        <f t="shared" si="4"/>
        <v>77.703846153846314</v>
      </c>
    </row>
    <row r="23" spans="1:24">
      <c r="A23" s="11">
        <v>44130</v>
      </c>
      <c r="B23" s="7">
        <v>26.7</v>
      </c>
      <c r="C23" s="2" t="s">
        <v>30</v>
      </c>
      <c r="D23" s="2">
        <v>31</v>
      </c>
      <c r="E23" s="2" t="s">
        <v>34</v>
      </c>
      <c r="F23" s="2"/>
      <c r="G23" s="2" t="s">
        <v>4</v>
      </c>
      <c r="H23" s="8">
        <v>6</v>
      </c>
      <c r="I23" s="10">
        <v>0.52569444444444446</v>
      </c>
      <c r="J23" s="10">
        <v>8.4722222222222213E-2</v>
      </c>
      <c r="K23" s="2">
        <v>85</v>
      </c>
      <c r="L23" s="7">
        <v>2</v>
      </c>
      <c r="M23" s="2">
        <v>103.67</v>
      </c>
      <c r="N23" s="7">
        <f t="shared" si="0"/>
        <v>211.79781</v>
      </c>
      <c r="O23" s="2">
        <v>89.92</v>
      </c>
      <c r="P23" s="7">
        <f t="shared" si="1"/>
        <v>183.70656</v>
      </c>
      <c r="Q23" s="2"/>
      <c r="R23" s="2"/>
      <c r="S23" s="9">
        <f t="shared" si="3"/>
        <v>6.6097058823529422E-4</v>
      </c>
      <c r="T23" s="9">
        <f>((L23*(N23-P23))/(1000*K23))-$R$7</f>
        <v>6.6097058823529422E-4</v>
      </c>
      <c r="U23" s="2">
        <f t="shared" si="5"/>
        <v>1.1016176470588238E-4</v>
      </c>
      <c r="V23" s="2">
        <f t="shared" si="6"/>
        <v>3.3048529411764711E-4</v>
      </c>
      <c r="W23" s="2">
        <f t="shared" si="7"/>
        <v>0.11016176470588238</v>
      </c>
      <c r="X23" s="2">
        <f t="shared" si="4"/>
        <v>110.16176470588238</v>
      </c>
    </row>
    <row r="24" spans="1:24">
      <c r="A24" s="11">
        <v>44130</v>
      </c>
      <c r="B24" s="7">
        <v>26.7</v>
      </c>
      <c r="C24" s="2" t="s">
        <v>30</v>
      </c>
      <c r="D24" s="2">
        <v>19</v>
      </c>
      <c r="E24" s="2" t="s">
        <v>34</v>
      </c>
      <c r="F24" s="2"/>
      <c r="G24" s="2" t="s">
        <v>4</v>
      </c>
      <c r="H24" s="8">
        <v>6</v>
      </c>
      <c r="I24" s="10">
        <v>6.25E-2</v>
      </c>
      <c r="J24" s="10">
        <v>0.1076388888888889</v>
      </c>
      <c r="K24" s="2">
        <v>65</v>
      </c>
      <c r="L24" s="7">
        <v>2</v>
      </c>
      <c r="M24" s="7">
        <v>98.9</v>
      </c>
      <c r="N24" s="7">
        <f t="shared" si="0"/>
        <v>202.05270000000004</v>
      </c>
      <c r="O24" s="2">
        <v>91.15</v>
      </c>
      <c r="P24" s="7">
        <f t="shared" si="1"/>
        <v>186.21945000000002</v>
      </c>
      <c r="Q24" s="2"/>
      <c r="R24" s="2"/>
      <c r="S24" s="9">
        <f t="shared" si="3"/>
        <v>4.8717692307692373E-4</v>
      </c>
      <c r="T24" s="9">
        <f>((L24*(N24-P24))/(1000*K24))-$R$12</f>
        <v>4.8717692307692373E-4</v>
      </c>
      <c r="U24" s="2">
        <f t="shared" si="5"/>
        <v>8.1196153846153956E-5</v>
      </c>
      <c r="V24" s="2">
        <f t="shared" si="6"/>
        <v>2.4358846153846187E-4</v>
      </c>
      <c r="W24" s="2">
        <f t="shared" si="7"/>
        <v>8.1196153846153959E-2</v>
      </c>
      <c r="X24" s="2">
        <f t="shared" si="4"/>
        <v>81.196153846153962</v>
      </c>
    </row>
    <row r="25" spans="1:24">
      <c r="A25" s="11">
        <v>44130</v>
      </c>
      <c r="B25" s="7">
        <v>26.7</v>
      </c>
      <c r="C25" s="2" t="s">
        <v>30</v>
      </c>
      <c r="D25" s="2">
        <v>5</v>
      </c>
      <c r="E25" s="2" t="s">
        <v>34</v>
      </c>
      <c r="F25" s="2"/>
      <c r="G25" s="2" t="s">
        <v>4</v>
      </c>
      <c r="H25" s="8">
        <v>6</v>
      </c>
      <c r="I25" s="10">
        <v>0.23402777777777781</v>
      </c>
      <c r="J25" s="10">
        <v>0.3034722222222222</v>
      </c>
      <c r="K25" s="2">
        <v>100</v>
      </c>
      <c r="L25" s="7">
        <v>2</v>
      </c>
      <c r="M25" s="2">
        <v>98.99</v>
      </c>
      <c r="N25" s="7">
        <f t="shared" si="0"/>
        <v>202.23657</v>
      </c>
      <c r="O25" s="2">
        <v>90</v>
      </c>
      <c r="P25" s="7">
        <f t="shared" si="1"/>
        <v>183.87</v>
      </c>
      <c r="Q25" s="2"/>
      <c r="R25" s="2"/>
      <c r="S25" s="9">
        <f t="shared" si="3"/>
        <v>3.673313999999999E-4</v>
      </c>
      <c r="T25" s="9">
        <f>((L25*(N25-P25))/(1000*K25))-$R$17</f>
        <v>3.673313999999999E-4</v>
      </c>
      <c r="U25" s="2">
        <f t="shared" si="5"/>
        <v>6.1221899999999984E-5</v>
      </c>
      <c r="V25" s="2">
        <f t="shared" si="6"/>
        <v>1.8366569999999995E-4</v>
      </c>
      <c r="W25" s="2">
        <f t="shared" si="7"/>
        <v>6.1221899999999982E-2</v>
      </c>
      <c r="X25" s="2">
        <f t="shared" si="4"/>
        <v>61.221899999999984</v>
      </c>
    </row>
    <row r="26" spans="1:24">
      <c r="A26" s="11">
        <v>44130</v>
      </c>
      <c r="B26" s="7">
        <v>26.7</v>
      </c>
      <c r="C26" s="2" t="s">
        <v>30</v>
      </c>
      <c r="D26" s="2">
        <v>101</v>
      </c>
      <c r="E26" s="2" t="s">
        <v>34</v>
      </c>
      <c r="F26" s="2" t="s">
        <v>32</v>
      </c>
      <c r="G26" s="2" t="s">
        <v>1</v>
      </c>
      <c r="H26" s="8">
        <v>6</v>
      </c>
      <c r="I26" s="10">
        <v>0.49722222222222223</v>
      </c>
      <c r="J26" s="10">
        <v>0.53125</v>
      </c>
      <c r="K26" s="2">
        <v>49</v>
      </c>
      <c r="L26" s="7">
        <v>2</v>
      </c>
      <c r="M26" s="2">
        <v>96.84</v>
      </c>
      <c r="N26" s="7">
        <f t="shared" si="0"/>
        <v>197.84412000000003</v>
      </c>
      <c r="O26" s="2">
        <v>96.05</v>
      </c>
      <c r="P26" s="7">
        <f t="shared" si="1"/>
        <v>196.23015000000001</v>
      </c>
      <c r="Q26" s="2"/>
      <c r="R26" s="2"/>
      <c r="S26" s="9">
        <f t="shared" si="3"/>
        <v>6.5876326530613194E-5</v>
      </c>
      <c r="T26" s="9">
        <f>((L26*(N26-P26))/(1000*K26))-$R$2</f>
        <v>8.3563129620915847E-6</v>
      </c>
      <c r="U26" s="2">
        <f t="shared" si="5"/>
        <v>1.3927188270152642E-6</v>
      </c>
      <c r="V26" s="2">
        <f t="shared" si="6"/>
        <v>4.1781564810457924E-6</v>
      </c>
      <c r="W26" s="2">
        <f t="shared" si="7"/>
        <v>1.3927188270152643E-3</v>
      </c>
      <c r="X26" s="2">
        <f t="shared" si="4"/>
        <v>1.3927188270152642</v>
      </c>
    </row>
    <row r="27" spans="1:24">
      <c r="A27" s="11">
        <v>44130</v>
      </c>
      <c r="B27" s="7">
        <v>26.7</v>
      </c>
      <c r="C27" s="2" t="s">
        <v>30</v>
      </c>
      <c r="D27" s="2">
        <v>2</v>
      </c>
      <c r="E27" s="2" t="s">
        <v>34</v>
      </c>
      <c r="F27" s="2"/>
      <c r="G27" s="2" t="s">
        <v>1</v>
      </c>
      <c r="H27" s="8">
        <v>6</v>
      </c>
      <c r="I27" s="10">
        <v>0.23055555555555554</v>
      </c>
      <c r="J27" s="10">
        <v>0.28888888888888892</v>
      </c>
      <c r="K27" s="2">
        <v>84</v>
      </c>
      <c r="L27" s="7">
        <v>2</v>
      </c>
      <c r="M27" s="2">
        <v>98.99</v>
      </c>
      <c r="N27" s="7">
        <f t="shared" si="0"/>
        <v>202.23657</v>
      </c>
      <c r="O27" s="2">
        <v>93.21</v>
      </c>
      <c r="P27" s="7">
        <f t="shared" si="1"/>
        <v>190.42803000000001</v>
      </c>
      <c r="Q27" s="2"/>
      <c r="R27" s="2"/>
      <c r="S27" s="9">
        <f t="shared" si="3"/>
        <v>2.8115571428571413E-4</v>
      </c>
      <c r="T27" s="9">
        <f>((L27*(N27-P27))/(1000*K27))-$R$17</f>
        <v>2.8115571428571413E-4</v>
      </c>
      <c r="U27" s="2">
        <f t="shared" si="5"/>
        <v>4.6859285714285686E-5</v>
      </c>
      <c r="V27" s="2">
        <f t="shared" si="6"/>
        <v>1.4057785714285706E-4</v>
      </c>
      <c r="W27" s="2">
        <f t="shared" si="7"/>
        <v>4.6859285714285687E-2</v>
      </c>
      <c r="X27" s="2">
        <f t="shared" si="4"/>
        <v>46.85928571428569</v>
      </c>
    </row>
    <row r="28" spans="1:24">
      <c r="A28" s="11">
        <v>44130</v>
      </c>
      <c r="B28" s="7">
        <v>26.7</v>
      </c>
      <c r="C28" s="2" t="s">
        <v>30</v>
      </c>
      <c r="D28" s="2">
        <v>12</v>
      </c>
      <c r="E28" s="2" t="s">
        <v>34</v>
      </c>
      <c r="F28" s="2"/>
      <c r="G28" s="2" t="s">
        <v>1</v>
      </c>
      <c r="H28" s="8">
        <v>6</v>
      </c>
      <c r="I28" s="10">
        <v>0.2388888888888889</v>
      </c>
      <c r="J28" s="10">
        <v>0.31111111111111112</v>
      </c>
      <c r="K28" s="2">
        <v>104</v>
      </c>
      <c r="L28" s="7">
        <v>2</v>
      </c>
      <c r="M28" s="2">
        <v>98.99</v>
      </c>
      <c r="N28" s="7">
        <f t="shared" si="0"/>
        <v>202.23657</v>
      </c>
      <c r="O28" s="2">
        <v>90.97</v>
      </c>
      <c r="P28" s="7">
        <f t="shared" si="1"/>
        <v>185.85171</v>
      </c>
      <c r="Q28" s="2"/>
      <c r="R28" s="2"/>
      <c r="S28" s="9">
        <f t="shared" si="3"/>
        <v>3.150934615384616E-4</v>
      </c>
      <c r="T28" s="9">
        <f>((L28*(N28-P28))/(1000*K28))-$R$17</f>
        <v>3.150934615384616E-4</v>
      </c>
      <c r="U28" s="2">
        <f t="shared" si="5"/>
        <v>5.2515576923076933E-5</v>
      </c>
      <c r="V28" s="2">
        <f t="shared" si="6"/>
        <v>1.575467307692308E-4</v>
      </c>
      <c r="W28" s="2">
        <f t="shared" si="7"/>
        <v>5.2515576923076936E-2</v>
      </c>
      <c r="X28" s="2">
        <f t="shared" si="4"/>
        <v>52.515576923076935</v>
      </c>
    </row>
    <row r="29" spans="1:24">
      <c r="A29" s="11">
        <v>44130</v>
      </c>
      <c r="B29" s="7">
        <v>26.7</v>
      </c>
      <c r="C29" s="2" t="s">
        <v>30</v>
      </c>
      <c r="D29" s="2">
        <v>30</v>
      </c>
      <c r="E29" s="2" t="s">
        <v>34</v>
      </c>
      <c r="F29" s="2"/>
      <c r="G29" s="2" t="s">
        <v>1</v>
      </c>
      <c r="H29" s="8">
        <v>6</v>
      </c>
      <c r="I29" s="10">
        <v>0.28055555555555556</v>
      </c>
      <c r="J29" s="10">
        <v>0.35555555555555557</v>
      </c>
      <c r="K29" s="2">
        <v>108</v>
      </c>
      <c r="L29" s="7">
        <v>2</v>
      </c>
      <c r="M29" s="2">
        <v>98.98</v>
      </c>
      <c r="N29" s="7">
        <f t="shared" si="0"/>
        <v>202.21614000000002</v>
      </c>
      <c r="O29" s="2">
        <v>90.49</v>
      </c>
      <c r="P29" s="7">
        <f t="shared" si="1"/>
        <v>184.87107</v>
      </c>
      <c r="Q29" s="2"/>
      <c r="R29" s="2"/>
      <c r="S29" s="9">
        <f t="shared" si="3"/>
        <v>3.2120500000000041E-4</v>
      </c>
      <c r="T29" s="9">
        <f>((L29*(N29-P29))/(1000*K29))-$R$12</f>
        <v>3.2120500000000041E-4</v>
      </c>
      <c r="U29" s="2">
        <f t="shared" si="5"/>
        <v>5.3534166666666734E-5</v>
      </c>
      <c r="V29" s="2">
        <f t="shared" si="6"/>
        <v>1.606025000000002E-4</v>
      </c>
      <c r="W29" s="2">
        <f t="shared" si="7"/>
        <v>5.3534166666666737E-2</v>
      </c>
      <c r="X29" s="2">
        <f t="shared" si="4"/>
        <v>53.534166666666735</v>
      </c>
    </row>
    <row r="30" spans="1:24">
      <c r="A30" s="11">
        <v>44130</v>
      </c>
      <c r="B30" s="7">
        <v>26.7</v>
      </c>
      <c r="C30" s="2" t="s">
        <v>30</v>
      </c>
      <c r="D30" s="2">
        <v>9</v>
      </c>
      <c r="E30" s="2" t="s">
        <v>34</v>
      </c>
      <c r="F30" s="2"/>
      <c r="G30" s="2" t="s">
        <v>1</v>
      </c>
      <c r="H30" s="8">
        <v>6</v>
      </c>
      <c r="I30" s="10">
        <v>0.28541666666666665</v>
      </c>
      <c r="J30" s="10">
        <v>0.36805555555555558</v>
      </c>
      <c r="K30" s="2">
        <v>119</v>
      </c>
      <c r="L30" s="7">
        <v>2</v>
      </c>
      <c r="M30" s="2">
        <v>98.98</v>
      </c>
      <c r="N30" s="7">
        <f t="shared" si="0"/>
        <v>202.21614000000002</v>
      </c>
      <c r="O30" s="2">
        <v>88.86</v>
      </c>
      <c r="P30" s="7">
        <f t="shared" si="1"/>
        <v>181.54097999999999</v>
      </c>
      <c r="Q30" s="2"/>
      <c r="R30" s="2"/>
      <c r="S30" s="9">
        <f t="shared" si="3"/>
        <v>3.4748168067226949E-4</v>
      </c>
      <c r="T30" s="9">
        <f>((L30*(N30-P30))/(1000*K30))-$R$12</f>
        <v>3.4748168067226949E-4</v>
      </c>
      <c r="U30" s="2">
        <f t="shared" si="5"/>
        <v>5.7913613445378248E-5</v>
      </c>
      <c r="V30" s="2">
        <f t="shared" si="6"/>
        <v>1.7374084033613474E-4</v>
      </c>
      <c r="W30" s="2">
        <f t="shared" si="7"/>
        <v>5.7913613445378251E-2</v>
      </c>
      <c r="X30" s="2">
        <f t="shared" si="4"/>
        <v>57.913613445378253</v>
      </c>
    </row>
    <row r="34" spans="6:7">
      <c r="F34" s="17">
        <v>1</v>
      </c>
      <c r="G34" s="16"/>
    </row>
    <row r="35" spans="6:7">
      <c r="G35" s="2"/>
    </row>
    <row r="56" spans="1:2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7"/>
      <c r="Q56" s="2"/>
      <c r="R56" s="2"/>
      <c r="S56" s="9"/>
      <c r="T56" s="2"/>
      <c r="U56" s="2"/>
      <c r="V56" s="2"/>
    </row>
    <row r="57" spans="1:2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7"/>
      <c r="Q57" s="2"/>
      <c r="R57" s="2"/>
      <c r="S57" s="9"/>
      <c r="T57" s="2"/>
      <c r="U57" s="2"/>
      <c r="V57" s="2"/>
    </row>
    <row r="58" spans="1:2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7"/>
      <c r="Q58" s="2"/>
      <c r="R58" s="2"/>
      <c r="S58" s="9"/>
      <c r="T58" s="2"/>
      <c r="U58" s="2"/>
      <c r="V58" s="2"/>
    </row>
    <row r="59" spans="1:2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7"/>
      <c r="Q59" s="2"/>
      <c r="R59" s="2"/>
      <c r="S59" s="9"/>
      <c r="T59" s="2"/>
      <c r="U59" s="2"/>
      <c r="V59" s="2"/>
    </row>
    <row r="60" spans="1:22">
      <c r="P60" s="18"/>
    </row>
    <row r="61" spans="1:22">
      <c r="P61" s="18"/>
    </row>
    <row r="62" spans="1:22">
      <c r="P62" s="18"/>
    </row>
    <row r="63" spans="1:22">
      <c r="P63" s="18"/>
    </row>
    <row r="64" spans="1:22">
      <c r="P64" s="18"/>
    </row>
    <row r="65" spans="16:16">
      <c r="P65" s="18"/>
    </row>
    <row r="66" spans="16:16">
      <c r="P66" s="18"/>
    </row>
    <row r="67" spans="16:16">
      <c r="P67" s="18"/>
    </row>
    <row r="68" spans="16:16">
      <c r="P68" s="18"/>
    </row>
    <row r="69" spans="16:16">
      <c r="P69" s="18"/>
    </row>
    <row r="70" spans="16:16">
      <c r="P70" s="18"/>
    </row>
    <row r="71" spans="16:16">
      <c r="P71" s="18"/>
    </row>
    <row r="72" spans="16:16">
      <c r="P72" s="18"/>
    </row>
    <row r="73" spans="16:16">
      <c r="P73" s="18"/>
    </row>
    <row r="74" spans="16:16">
      <c r="P74" s="18"/>
    </row>
    <row r="75" spans="16:16">
      <c r="P75" s="18"/>
    </row>
    <row r="76" spans="16:16">
      <c r="P76" s="18"/>
    </row>
    <row r="77" spans="16:16">
      <c r="P77" s="18"/>
    </row>
    <row r="78" spans="16:16">
      <c r="P78" s="18"/>
    </row>
    <row r="79" spans="16:16">
      <c r="P79" s="18"/>
    </row>
    <row r="80" spans="16:16">
      <c r="P80" s="18"/>
    </row>
    <row r="81" spans="16:16">
      <c r="P81" s="18"/>
    </row>
    <row r="82" spans="16:16">
      <c r="P82" s="18"/>
    </row>
    <row r="83" spans="16:16">
      <c r="P83" s="18"/>
    </row>
    <row r="84" spans="16:16">
      <c r="P84" s="18"/>
    </row>
    <row r="85" spans="16:16">
      <c r="P85" s="18"/>
    </row>
    <row r="86" spans="16:16">
      <c r="P86" s="18"/>
    </row>
    <row r="87" spans="16:16">
      <c r="P87" s="18"/>
    </row>
    <row r="88" spans="16:16">
      <c r="P88" s="18"/>
    </row>
    <row r="89" spans="16:16">
      <c r="P89" s="18"/>
    </row>
    <row r="90" spans="16:16">
      <c r="P90" s="18"/>
    </row>
    <row r="91" spans="16:16">
      <c r="P91" s="18"/>
    </row>
    <row r="92" spans="16:16">
      <c r="P92" s="18"/>
    </row>
    <row r="93" spans="16:16">
      <c r="P93" s="18"/>
    </row>
    <row r="94" spans="16:16">
      <c r="P94" s="18"/>
    </row>
    <row r="95" spans="16:16">
      <c r="P95" s="18"/>
    </row>
    <row r="96" spans="16:16">
      <c r="P96" s="18"/>
    </row>
    <row r="97" spans="16:16">
      <c r="P97" s="18"/>
    </row>
    <row r="98" spans="16:16">
      <c r="P98" s="18"/>
    </row>
    <row r="99" spans="16:16">
      <c r="P99" s="18"/>
    </row>
    <row r="100" spans="16:16">
      <c r="P100" s="18"/>
    </row>
  </sheetData>
  <sortState xmlns:xlrd2="http://schemas.microsoft.com/office/spreadsheetml/2017/richdata2" ref="A2:X100">
    <sortCondition ref="G2:G10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10B1D-6F18-F340-B841-996E5ED7CE25}">
  <dimension ref="A1:G115"/>
  <sheetViews>
    <sheetView workbookViewId="0">
      <selection activeCell="H7" sqref="H7"/>
    </sheetView>
  </sheetViews>
  <sheetFormatPr defaultColWidth="10.90625" defaultRowHeight="14.5"/>
  <cols>
    <col min="1" max="7" width="10.81640625" style="1"/>
  </cols>
  <sheetData>
    <row r="1" spans="1:6">
      <c r="A1" s="4" t="s">
        <v>3</v>
      </c>
      <c r="B1" s="5" t="s">
        <v>25</v>
      </c>
      <c r="C1" s="5" t="s">
        <v>8</v>
      </c>
      <c r="D1" s="5" t="s">
        <v>9</v>
      </c>
      <c r="E1" s="6" t="s">
        <v>43</v>
      </c>
      <c r="F1" s="6" t="s">
        <v>44</v>
      </c>
    </row>
    <row r="2" spans="1:6">
      <c r="A2" s="2">
        <v>101</v>
      </c>
      <c r="B2" s="1" t="s">
        <v>37</v>
      </c>
      <c r="C2" s="3">
        <v>44130</v>
      </c>
      <c r="D2" s="1" t="s">
        <v>30</v>
      </c>
      <c r="E2" s="1">
        <v>0.69</v>
      </c>
      <c r="F2" s="1">
        <v>0.63400000000000001</v>
      </c>
    </row>
    <row r="3" spans="1:6">
      <c r="A3" s="2">
        <v>101</v>
      </c>
      <c r="B3" s="1" t="s">
        <v>37</v>
      </c>
      <c r="C3" s="3">
        <v>44130</v>
      </c>
      <c r="D3" s="1" t="s">
        <v>30</v>
      </c>
      <c r="E3" s="1">
        <v>0.60099999999999998</v>
      </c>
      <c r="F3" s="1">
        <v>0.54800000000000004</v>
      </c>
    </row>
    <row r="4" spans="1:6">
      <c r="A4" s="2">
        <v>101</v>
      </c>
      <c r="B4" s="1" t="s">
        <v>37</v>
      </c>
      <c r="C4" s="3">
        <v>44130</v>
      </c>
      <c r="D4" s="1" t="s">
        <v>30</v>
      </c>
      <c r="E4" s="1">
        <v>0.71199999999999997</v>
      </c>
      <c r="F4" s="1">
        <v>0.51</v>
      </c>
    </row>
    <row r="5" spans="1:6">
      <c r="A5" s="2">
        <v>101</v>
      </c>
      <c r="B5" s="1" t="s">
        <v>37</v>
      </c>
      <c r="C5" s="3">
        <v>44130</v>
      </c>
      <c r="D5" s="1" t="s">
        <v>30</v>
      </c>
      <c r="E5" s="1">
        <v>0.66600000000000004</v>
      </c>
      <c r="F5" s="1">
        <v>0.63900000000000001</v>
      </c>
    </row>
    <row r="6" spans="1:6">
      <c r="A6" s="2">
        <v>101</v>
      </c>
      <c r="B6" s="1" t="s">
        <v>37</v>
      </c>
      <c r="C6" s="3">
        <v>44130</v>
      </c>
      <c r="D6" s="1" t="s">
        <v>30</v>
      </c>
      <c r="E6" s="1">
        <v>0.84199999999999997</v>
      </c>
      <c r="F6" s="1">
        <v>0.71599999999999997</v>
      </c>
    </row>
    <row r="7" spans="1:6">
      <c r="A7" s="2">
        <v>101</v>
      </c>
      <c r="B7" s="1" t="s">
        <v>37</v>
      </c>
      <c r="C7" s="3">
        <v>44130</v>
      </c>
      <c r="D7" s="1" t="s">
        <v>30</v>
      </c>
      <c r="E7" s="1">
        <v>0.63100000000000001</v>
      </c>
      <c r="F7" s="1">
        <v>0.63</v>
      </c>
    </row>
    <row r="8" spans="1:6">
      <c r="A8" s="2">
        <v>33</v>
      </c>
      <c r="B8" s="1" t="s">
        <v>38</v>
      </c>
      <c r="C8" s="3">
        <v>44130</v>
      </c>
      <c r="D8" s="1" t="s">
        <v>30</v>
      </c>
      <c r="E8" s="1">
        <v>1.3260000000000001</v>
      </c>
      <c r="F8" s="1">
        <v>0.65400000000000003</v>
      </c>
    </row>
    <row r="9" spans="1:6">
      <c r="A9" s="2">
        <v>33</v>
      </c>
      <c r="B9" s="1" t="s">
        <v>38</v>
      </c>
      <c r="C9" s="3">
        <v>44130</v>
      </c>
      <c r="D9" s="1" t="s">
        <v>30</v>
      </c>
      <c r="E9" s="1">
        <v>0.77</v>
      </c>
      <c r="F9" s="1">
        <v>0.70899999999999996</v>
      </c>
    </row>
    <row r="10" spans="1:6">
      <c r="A10" s="2">
        <v>33</v>
      </c>
      <c r="B10" s="1" t="s">
        <v>38</v>
      </c>
      <c r="C10" s="3">
        <v>44130</v>
      </c>
      <c r="D10" s="1" t="s">
        <v>30</v>
      </c>
      <c r="E10" s="1">
        <v>0.91100000000000003</v>
      </c>
      <c r="F10" s="1">
        <v>0.78900000000000003</v>
      </c>
    </row>
    <row r="11" spans="1:6">
      <c r="A11" s="2">
        <v>33</v>
      </c>
      <c r="B11" s="1" t="s">
        <v>38</v>
      </c>
      <c r="C11" s="3">
        <v>44130</v>
      </c>
      <c r="D11" s="1" t="s">
        <v>30</v>
      </c>
      <c r="E11" s="1">
        <v>0.98799999999999999</v>
      </c>
      <c r="F11" s="1">
        <v>0.73799999999999999</v>
      </c>
    </row>
    <row r="12" spans="1:6">
      <c r="A12" s="2">
        <v>33</v>
      </c>
      <c r="B12" s="1" t="s">
        <v>38</v>
      </c>
      <c r="C12" s="3">
        <v>44130</v>
      </c>
      <c r="D12" s="1" t="s">
        <v>30</v>
      </c>
      <c r="E12" s="1">
        <v>1.0409999999999999</v>
      </c>
      <c r="F12" s="1">
        <v>0.77500000000000002</v>
      </c>
    </row>
    <row r="13" spans="1:6">
      <c r="A13" s="2">
        <v>33</v>
      </c>
      <c r="B13" s="1" t="s">
        <v>38</v>
      </c>
      <c r="C13" s="3">
        <v>44130</v>
      </c>
      <c r="D13" s="1" t="s">
        <v>30</v>
      </c>
      <c r="E13" s="1">
        <v>0.74099999999999999</v>
      </c>
      <c r="F13" s="1">
        <v>0.69199999999999995</v>
      </c>
    </row>
    <row r="14" spans="1:6">
      <c r="A14" s="2">
        <v>4</v>
      </c>
      <c r="B14" s="1" t="s">
        <v>39</v>
      </c>
      <c r="C14" s="3">
        <v>44130</v>
      </c>
      <c r="D14" s="1" t="s">
        <v>30</v>
      </c>
      <c r="E14" s="1">
        <v>0.98899999999999999</v>
      </c>
      <c r="F14" s="1">
        <v>0.55000000000000004</v>
      </c>
    </row>
    <row r="15" spans="1:6">
      <c r="A15" s="2">
        <v>4</v>
      </c>
      <c r="B15" s="1" t="s">
        <v>39</v>
      </c>
      <c r="C15" s="3">
        <v>44130</v>
      </c>
      <c r="D15" s="1" t="s">
        <v>30</v>
      </c>
      <c r="E15" s="1">
        <v>0.95499999999999996</v>
      </c>
      <c r="F15" s="1">
        <v>0.57799999999999996</v>
      </c>
    </row>
    <row r="16" spans="1:6">
      <c r="A16" s="2">
        <v>4</v>
      </c>
      <c r="B16" s="1" t="s">
        <v>39</v>
      </c>
      <c r="C16" s="3">
        <v>44130</v>
      </c>
      <c r="D16" s="1" t="s">
        <v>30</v>
      </c>
      <c r="E16" s="1">
        <v>1.012</v>
      </c>
      <c r="F16" s="1">
        <v>0.68700000000000006</v>
      </c>
    </row>
    <row r="17" spans="1:6">
      <c r="A17" s="2">
        <v>4</v>
      </c>
      <c r="B17" s="1" t="s">
        <v>39</v>
      </c>
      <c r="C17" s="3">
        <v>44130</v>
      </c>
      <c r="D17" s="1" t="s">
        <v>30</v>
      </c>
      <c r="E17" s="1">
        <v>1.226</v>
      </c>
      <c r="F17" s="1">
        <v>0.65400000000000003</v>
      </c>
    </row>
    <row r="18" spans="1:6">
      <c r="A18" s="2">
        <v>4</v>
      </c>
      <c r="B18" s="1" t="s">
        <v>39</v>
      </c>
      <c r="C18" s="3">
        <v>44130</v>
      </c>
      <c r="D18" s="1" t="s">
        <v>30</v>
      </c>
      <c r="E18" s="1">
        <v>0.78600000000000003</v>
      </c>
      <c r="F18" s="1">
        <v>0.754</v>
      </c>
    </row>
    <row r="19" spans="1:6">
      <c r="A19" s="2">
        <v>4</v>
      </c>
      <c r="B19" s="1" t="s">
        <v>39</v>
      </c>
      <c r="C19" s="3">
        <v>44130</v>
      </c>
      <c r="D19" s="1" t="s">
        <v>30</v>
      </c>
      <c r="E19" s="1">
        <v>1.032</v>
      </c>
      <c r="F19" s="1">
        <v>0.75700000000000001</v>
      </c>
    </row>
    <row r="20" spans="1:6">
      <c r="A20" s="2">
        <v>20</v>
      </c>
      <c r="B20" s="1" t="s">
        <v>39</v>
      </c>
      <c r="C20" s="3">
        <v>44130</v>
      </c>
      <c r="D20" s="1" t="s">
        <v>30</v>
      </c>
      <c r="E20" s="1">
        <v>1.21</v>
      </c>
      <c r="F20" s="1">
        <v>0.79900000000000004</v>
      </c>
    </row>
    <row r="21" spans="1:6">
      <c r="A21" s="2">
        <v>20</v>
      </c>
      <c r="B21" s="1" t="s">
        <v>39</v>
      </c>
      <c r="C21" s="3">
        <v>44130</v>
      </c>
      <c r="D21" s="1" t="s">
        <v>30</v>
      </c>
      <c r="E21" s="1">
        <v>1.2470000000000001</v>
      </c>
      <c r="F21" s="1">
        <v>0.748</v>
      </c>
    </row>
    <row r="22" spans="1:6">
      <c r="A22" s="2">
        <v>20</v>
      </c>
      <c r="B22" s="1" t="s">
        <v>39</v>
      </c>
      <c r="C22" s="3">
        <v>44130</v>
      </c>
      <c r="D22" s="1" t="s">
        <v>30</v>
      </c>
      <c r="E22" s="1">
        <v>1.306</v>
      </c>
      <c r="F22" s="1">
        <v>0.65600000000000003</v>
      </c>
    </row>
    <row r="23" spans="1:6">
      <c r="A23" s="2">
        <v>20</v>
      </c>
      <c r="B23" s="1" t="s">
        <v>39</v>
      </c>
      <c r="C23" s="3">
        <v>44130</v>
      </c>
      <c r="D23" s="1" t="s">
        <v>30</v>
      </c>
      <c r="E23" s="1">
        <v>0.91500000000000004</v>
      </c>
      <c r="F23" s="1">
        <v>0.79700000000000004</v>
      </c>
    </row>
    <row r="24" spans="1:6">
      <c r="A24" s="2">
        <v>20</v>
      </c>
      <c r="B24" s="1" t="s">
        <v>39</v>
      </c>
      <c r="C24" s="3">
        <v>44130</v>
      </c>
      <c r="D24" s="1" t="s">
        <v>30</v>
      </c>
      <c r="E24" s="1">
        <v>1.0189999999999999</v>
      </c>
      <c r="F24" s="1">
        <v>0.84499999999999997</v>
      </c>
    </row>
    <row r="25" spans="1:6">
      <c r="A25" s="2">
        <v>20</v>
      </c>
      <c r="B25" s="1" t="s">
        <v>39</v>
      </c>
      <c r="C25" s="3">
        <v>44130</v>
      </c>
      <c r="D25" s="1" t="s">
        <v>30</v>
      </c>
      <c r="E25" s="1">
        <v>0.995</v>
      </c>
      <c r="F25" s="1">
        <v>0.80100000000000005</v>
      </c>
    </row>
    <row r="26" spans="1:6">
      <c r="A26" s="2">
        <v>3</v>
      </c>
      <c r="B26" s="1" t="s">
        <v>38</v>
      </c>
      <c r="C26" s="3">
        <v>44130</v>
      </c>
      <c r="D26" s="1" t="s">
        <v>30</v>
      </c>
      <c r="E26" s="1">
        <v>0.97899999999999998</v>
      </c>
      <c r="F26" s="1">
        <v>0.83</v>
      </c>
    </row>
    <row r="27" spans="1:6">
      <c r="A27" s="2">
        <v>3</v>
      </c>
      <c r="B27" s="1" t="s">
        <v>38</v>
      </c>
      <c r="C27" s="3">
        <v>44130</v>
      </c>
      <c r="D27" s="1" t="s">
        <v>30</v>
      </c>
      <c r="E27" s="1">
        <v>0.94899999999999995</v>
      </c>
      <c r="F27" s="1">
        <v>0.74299999999999999</v>
      </c>
    </row>
    <row r="28" spans="1:6">
      <c r="A28" s="2">
        <v>3</v>
      </c>
      <c r="B28" s="1" t="s">
        <v>38</v>
      </c>
      <c r="C28" s="3">
        <v>44130</v>
      </c>
      <c r="D28" s="1" t="s">
        <v>30</v>
      </c>
      <c r="E28" s="1">
        <v>1.3260000000000001</v>
      </c>
      <c r="F28" s="1">
        <v>0.63200000000000001</v>
      </c>
    </row>
    <row r="29" spans="1:6">
      <c r="A29" s="2">
        <v>3</v>
      </c>
      <c r="B29" s="1" t="s">
        <v>38</v>
      </c>
      <c r="C29" s="3">
        <v>44130</v>
      </c>
      <c r="D29" s="1" t="s">
        <v>30</v>
      </c>
      <c r="E29" s="1">
        <v>1.5880000000000001</v>
      </c>
      <c r="F29" s="1">
        <v>0.69099999999999995</v>
      </c>
    </row>
    <row r="30" spans="1:6">
      <c r="A30" s="2">
        <v>3</v>
      </c>
      <c r="B30" s="1" t="s">
        <v>38</v>
      </c>
      <c r="C30" s="3">
        <v>44130</v>
      </c>
      <c r="D30" s="1" t="s">
        <v>30</v>
      </c>
      <c r="E30" s="1">
        <v>1.55</v>
      </c>
      <c r="F30" s="1">
        <v>0.66600000000000004</v>
      </c>
    </row>
    <row r="31" spans="1:6">
      <c r="A31" s="2">
        <v>3</v>
      </c>
      <c r="B31" s="1" t="s">
        <v>38</v>
      </c>
      <c r="C31" s="3">
        <v>44130</v>
      </c>
      <c r="D31" s="1" t="s">
        <v>30</v>
      </c>
      <c r="E31" s="1">
        <v>1.2509999999999999</v>
      </c>
      <c r="F31" s="1">
        <v>0.66900000000000004</v>
      </c>
    </row>
    <row r="32" spans="1:6">
      <c r="A32" s="1">
        <v>31</v>
      </c>
      <c r="B32" s="1" t="s">
        <v>40</v>
      </c>
      <c r="C32" s="3">
        <v>44130</v>
      </c>
      <c r="D32" s="1" t="s">
        <v>30</v>
      </c>
      <c r="E32" s="1">
        <v>1.133</v>
      </c>
      <c r="F32" s="1">
        <v>1.0660000000000001</v>
      </c>
    </row>
    <row r="33" spans="1:6">
      <c r="A33" s="1">
        <v>31</v>
      </c>
      <c r="B33" s="1" t="s">
        <v>40</v>
      </c>
      <c r="C33" s="3">
        <v>44130</v>
      </c>
      <c r="D33" s="1" t="s">
        <v>30</v>
      </c>
      <c r="E33" s="1">
        <v>1.5189999999999999</v>
      </c>
      <c r="F33" s="1">
        <v>1.0389999999999999</v>
      </c>
    </row>
    <row r="34" spans="1:6">
      <c r="A34" s="1">
        <v>31</v>
      </c>
      <c r="B34" s="1" t="s">
        <v>40</v>
      </c>
      <c r="C34" s="3">
        <v>44130</v>
      </c>
      <c r="D34" s="1" t="s">
        <v>30</v>
      </c>
      <c r="E34" s="1">
        <v>1.266</v>
      </c>
      <c r="F34" s="1">
        <v>0.76</v>
      </c>
    </row>
    <row r="35" spans="1:6">
      <c r="A35" s="1">
        <v>31</v>
      </c>
      <c r="B35" s="1" t="s">
        <v>40</v>
      </c>
      <c r="C35" s="3">
        <v>44130</v>
      </c>
      <c r="D35" s="1" t="s">
        <v>30</v>
      </c>
      <c r="E35" s="1">
        <v>1.2430000000000001</v>
      </c>
      <c r="F35" s="1">
        <v>0.75800000000000001</v>
      </c>
    </row>
    <row r="36" spans="1:6">
      <c r="A36" s="1">
        <v>31</v>
      </c>
      <c r="B36" s="1" t="s">
        <v>40</v>
      </c>
      <c r="C36" s="3">
        <v>44130</v>
      </c>
      <c r="D36" s="1" t="s">
        <v>30</v>
      </c>
      <c r="E36" s="1">
        <v>1.224</v>
      </c>
      <c r="F36" s="1">
        <v>0.748</v>
      </c>
    </row>
    <row r="37" spans="1:6">
      <c r="A37" s="1">
        <v>31</v>
      </c>
      <c r="B37" s="1" t="s">
        <v>40</v>
      </c>
      <c r="C37" s="3">
        <v>44130</v>
      </c>
      <c r="D37" s="1" t="s">
        <v>30</v>
      </c>
      <c r="E37" s="1">
        <v>1.1160000000000001</v>
      </c>
      <c r="F37" s="1">
        <v>0.55600000000000005</v>
      </c>
    </row>
    <row r="38" spans="1:6">
      <c r="A38" s="2">
        <v>19</v>
      </c>
      <c r="B38" s="1" t="s">
        <v>40</v>
      </c>
      <c r="C38" s="3">
        <v>44130</v>
      </c>
      <c r="D38" s="1" t="s">
        <v>30</v>
      </c>
      <c r="E38" s="1">
        <v>1.018</v>
      </c>
      <c r="F38" s="1">
        <v>0.56399999999999995</v>
      </c>
    </row>
    <row r="39" spans="1:6">
      <c r="A39" s="2">
        <v>19</v>
      </c>
      <c r="B39" s="1" t="s">
        <v>40</v>
      </c>
      <c r="C39" s="3">
        <v>44130</v>
      </c>
      <c r="D39" s="1" t="s">
        <v>30</v>
      </c>
      <c r="E39" s="1">
        <v>1.0780000000000001</v>
      </c>
      <c r="F39" s="1">
        <v>1.012</v>
      </c>
    </row>
    <row r="40" spans="1:6">
      <c r="A40" s="2">
        <v>19</v>
      </c>
      <c r="B40" s="1" t="s">
        <v>40</v>
      </c>
      <c r="C40" s="3">
        <v>44130</v>
      </c>
      <c r="D40" s="1" t="s">
        <v>30</v>
      </c>
      <c r="E40" s="1">
        <v>0.79900000000000004</v>
      </c>
      <c r="F40" s="1">
        <v>0.753</v>
      </c>
    </row>
    <row r="41" spans="1:6">
      <c r="A41" s="2">
        <v>19</v>
      </c>
      <c r="B41" s="1" t="s">
        <v>40</v>
      </c>
      <c r="C41" s="3">
        <v>44130</v>
      </c>
      <c r="D41" s="1" t="s">
        <v>30</v>
      </c>
      <c r="E41" s="1">
        <v>1.028</v>
      </c>
      <c r="F41" s="1">
        <v>1.004</v>
      </c>
    </row>
    <row r="42" spans="1:6">
      <c r="A42" s="2">
        <v>19</v>
      </c>
      <c r="B42" s="1" t="s">
        <v>40</v>
      </c>
      <c r="C42" s="3">
        <v>44130</v>
      </c>
      <c r="D42" s="1" t="s">
        <v>30</v>
      </c>
      <c r="E42" s="1">
        <v>1.002</v>
      </c>
      <c r="F42" s="1">
        <v>0.92800000000000005</v>
      </c>
    </row>
    <row r="43" spans="1:6">
      <c r="A43" s="2">
        <v>19</v>
      </c>
      <c r="B43" s="1" t="s">
        <v>40</v>
      </c>
      <c r="C43" s="3">
        <v>44130</v>
      </c>
      <c r="D43" s="1" t="s">
        <v>30</v>
      </c>
      <c r="E43" s="1">
        <v>0.83499999999999996</v>
      </c>
      <c r="F43" s="1">
        <v>0.76600000000000001</v>
      </c>
    </row>
    <row r="44" spans="1:6">
      <c r="A44" s="2">
        <v>43</v>
      </c>
      <c r="B44" s="1" t="s">
        <v>39</v>
      </c>
      <c r="C44" s="3">
        <v>44130</v>
      </c>
      <c r="D44" s="1" t="s">
        <v>30</v>
      </c>
      <c r="E44" s="1">
        <v>0.90700000000000003</v>
      </c>
      <c r="F44" s="1">
        <v>0.80900000000000005</v>
      </c>
    </row>
    <row r="45" spans="1:6">
      <c r="A45" s="2">
        <v>43</v>
      </c>
      <c r="B45" s="1" t="s">
        <v>39</v>
      </c>
      <c r="C45" s="3">
        <v>44130</v>
      </c>
      <c r="D45" s="1" t="s">
        <v>30</v>
      </c>
      <c r="E45" s="1">
        <v>0.81899999999999995</v>
      </c>
      <c r="F45" s="1">
        <v>0.72399999999999998</v>
      </c>
    </row>
    <row r="46" spans="1:6">
      <c r="A46" s="2">
        <v>43</v>
      </c>
      <c r="B46" s="1" t="s">
        <v>39</v>
      </c>
      <c r="C46" s="3">
        <v>44130</v>
      </c>
      <c r="D46" s="1" t="s">
        <v>30</v>
      </c>
      <c r="E46" s="1">
        <v>0.93799999999999994</v>
      </c>
      <c r="F46" s="1">
        <v>0.879</v>
      </c>
    </row>
    <row r="47" spans="1:6">
      <c r="A47" s="2">
        <v>43</v>
      </c>
      <c r="B47" s="1" t="s">
        <v>39</v>
      </c>
      <c r="C47" s="3">
        <v>44130</v>
      </c>
      <c r="D47" s="1" t="s">
        <v>30</v>
      </c>
      <c r="E47" s="1">
        <v>1.2929999999999999</v>
      </c>
      <c r="F47" s="1">
        <v>0.63100000000000001</v>
      </c>
    </row>
    <row r="48" spans="1:6">
      <c r="A48" s="2">
        <v>43</v>
      </c>
      <c r="B48" s="1" t="s">
        <v>39</v>
      </c>
      <c r="C48" s="3">
        <v>44130</v>
      </c>
      <c r="D48" s="1" t="s">
        <v>30</v>
      </c>
      <c r="E48" s="1">
        <v>0.88800000000000001</v>
      </c>
      <c r="F48" s="1">
        <v>0.77300000000000002</v>
      </c>
    </row>
    <row r="49" spans="1:6">
      <c r="A49" s="2">
        <v>43</v>
      </c>
      <c r="B49" s="1" t="s">
        <v>39</v>
      </c>
      <c r="C49" s="3">
        <v>44130</v>
      </c>
      <c r="D49" s="1" t="s">
        <v>30</v>
      </c>
      <c r="E49" s="1">
        <v>0.94699999999999995</v>
      </c>
      <c r="F49" s="1">
        <v>0.751</v>
      </c>
    </row>
    <row r="50" spans="1:6">
      <c r="A50" s="2">
        <v>2</v>
      </c>
      <c r="B50" s="1" t="s">
        <v>37</v>
      </c>
      <c r="C50" s="3">
        <v>44130</v>
      </c>
      <c r="D50" s="1" t="s">
        <v>30</v>
      </c>
      <c r="E50" s="1">
        <v>0.84799999999999998</v>
      </c>
      <c r="F50" s="1">
        <v>0.56399999999999995</v>
      </c>
    </row>
    <row r="51" spans="1:6">
      <c r="A51" s="2">
        <v>2</v>
      </c>
      <c r="B51" s="1" t="s">
        <v>37</v>
      </c>
      <c r="C51" s="3">
        <v>44130</v>
      </c>
      <c r="D51" s="1" t="s">
        <v>30</v>
      </c>
      <c r="E51" s="1">
        <v>0.59699999999999998</v>
      </c>
      <c r="F51" s="1">
        <v>0.56000000000000005</v>
      </c>
    </row>
    <row r="52" spans="1:6">
      <c r="A52" s="2">
        <v>2</v>
      </c>
      <c r="B52" s="1" t="s">
        <v>37</v>
      </c>
      <c r="C52" s="3">
        <v>44130</v>
      </c>
      <c r="D52" s="1" t="s">
        <v>30</v>
      </c>
      <c r="E52" s="1">
        <v>0.749</v>
      </c>
      <c r="F52" s="1">
        <v>0.55100000000000005</v>
      </c>
    </row>
    <row r="53" spans="1:6">
      <c r="A53" s="2">
        <v>2</v>
      </c>
      <c r="B53" s="1" t="s">
        <v>37</v>
      </c>
      <c r="C53" s="3">
        <v>44130</v>
      </c>
      <c r="D53" s="1" t="s">
        <v>30</v>
      </c>
      <c r="E53" s="1">
        <v>0.77500000000000002</v>
      </c>
      <c r="F53" s="1">
        <v>0.752</v>
      </c>
    </row>
    <row r="54" spans="1:6">
      <c r="A54" s="2">
        <v>2</v>
      </c>
      <c r="B54" s="1" t="s">
        <v>37</v>
      </c>
      <c r="C54" s="3">
        <v>44130</v>
      </c>
      <c r="D54" s="1" t="s">
        <v>30</v>
      </c>
      <c r="E54" s="1">
        <v>0.65100000000000002</v>
      </c>
      <c r="F54" s="1">
        <v>0.51100000000000001</v>
      </c>
    </row>
    <row r="55" spans="1:6">
      <c r="A55" s="2">
        <v>2</v>
      </c>
      <c r="B55" s="1" t="s">
        <v>37</v>
      </c>
      <c r="C55" s="3">
        <v>44130</v>
      </c>
      <c r="D55" s="1" t="s">
        <v>30</v>
      </c>
      <c r="E55" s="1">
        <v>0.81299999999999994</v>
      </c>
      <c r="F55" s="1">
        <v>0.76600000000000001</v>
      </c>
    </row>
    <row r="56" spans="1:6">
      <c r="A56" s="2">
        <v>47</v>
      </c>
      <c r="B56" s="1" t="s">
        <v>39</v>
      </c>
      <c r="C56" s="3">
        <v>44130</v>
      </c>
      <c r="D56" s="1" t="s">
        <v>30</v>
      </c>
      <c r="E56" s="1">
        <v>1.397</v>
      </c>
      <c r="F56" s="1">
        <v>0.66700000000000004</v>
      </c>
    </row>
    <row r="57" spans="1:6">
      <c r="A57" s="2">
        <v>47</v>
      </c>
      <c r="B57" s="1" t="s">
        <v>39</v>
      </c>
      <c r="C57" s="3">
        <v>44130</v>
      </c>
      <c r="D57" s="1" t="s">
        <v>30</v>
      </c>
      <c r="E57" s="1">
        <v>1.0229999999999999</v>
      </c>
      <c r="F57" s="1">
        <v>0.82299999999999995</v>
      </c>
    </row>
    <row r="58" spans="1:6">
      <c r="A58" s="2">
        <v>47</v>
      </c>
      <c r="B58" s="1" t="s">
        <v>39</v>
      </c>
      <c r="C58" s="3">
        <v>44130</v>
      </c>
      <c r="D58" s="1" t="s">
        <v>30</v>
      </c>
      <c r="E58" s="1">
        <v>1.1950000000000001</v>
      </c>
      <c r="F58" s="1">
        <v>0.72699999999999998</v>
      </c>
    </row>
    <row r="59" spans="1:6">
      <c r="A59" s="2">
        <v>47</v>
      </c>
      <c r="B59" s="1" t="s">
        <v>39</v>
      </c>
      <c r="C59" s="3">
        <v>44130</v>
      </c>
      <c r="D59" s="1" t="s">
        <v>30</v>
      </c>
      <c r="E59" s="1">
        <v>1.1830000000000001</v>
      </c>
      <c r="F59" s="1">
        <v>0.66400000000000003</v>
      </c>
    </row>
    <row r="60" spans="1:6">
      <c r="A60" s="2">
        <v>47</v>
      </c>
      <c r="B60" s="1" t="s">
        <v>39</v>
      </c>
      <c r="C60" s="3">
        <v>44130</v>
      </c>
      <c r="D60" s="1" t="s">
        <v>30</v>
      </c>
      <c r="E60" s="1">
        <v>1.085</v>
      </c>
      <c r="F60" s="1">
        <v>0.65300000000000002</v>
      </c>
    </row>
    <row r="61" spans="1:6">
      <c r="A61" s="2">
        <v>47</v>
      </c>
      <c r="B61" s="1" t="s">
        <v>39</v>
      </c>
      <c r="C61" s="3">
        <v>44130</v>
      </c>
      <c r="D61" s="1" t="s">
        <v>30</v>
      </c>
      <c r="E61" s="1">
        <v>1.1559999999999999</v>
      </c>
      <c r="F61" s="1">
        <v>0.77200000000000002</v>
      </c>
    </row>
    <row r="62" spans="1:6">
      <c r="A62" s="2">
        <v>35</v>
      </c>
      <c r="B62" s="1" t="s">
        <v>38</v>
      </c>
      <c r="C62" s="3">
        <v>44130</v>
      </c>
      <c r="D62" s="1" t="s">
        <v>30</v>
      </c>
      <c r="E62" s="1">
        <v>0.98299999999999998</v>
      </c>
      <c r="F62" s="1">
        <v>0.96499999999999997</v>
      </c>
    </row>
    <row r="63" spans="1:6">
      <c r="A63" s="2">
        <v>35</v>
      </c>
      <c r="B63" s="1" t="s">
        <v>38</v>
      </c>
      <c r="C63" s="3">
        <v>44130</v>
      </c>
      <c r="D63" s="1" t="s">
        <v>30</v>
      </c>
      <c r="E63" s="1">
        <v>1.492</v>
      </c>
      <c r="F63" s="1">
        <v>0.60399999999999998</v>
      </c>
    </row>
    <row r="64" spans="1:6">
      <c r="A64" s="2">
        <v>35</v>
      </c>
      <c r="B64" s="1" t="s">
        <v>38</v>
      </c>
      <c r="C64" s="3">
        <v>44130</v>
      </c>
      <c r="D64" s="1" t="s">
        <v>30</v>
      </c>
      <c r="E64" s="1">
        <v>1.254</v>
      </c>
      <c r="F64" s="1">
        <v>0.92</v>
      </c>
    </row>
    <row r="65" spans="1:6">
      <c r="A65" s="2">
        <v>35</v>
      </c>
      <c r="B65" s="1" t="s">
        <v>38</v>
      </c>
      <c r="C65" s="3">
        <v>44130</v>
      </c>
      <c r="D65" s="1" t="s">
        <v>30</v>
      </c>
      <c r="E65" s="1">
        <v>1.0980000000000001</v>
      </c>
      <c r="F65" s="1">
        <v>0.85599999999999998</v>
      </c>
    </row>
    <row r="66" spans="1:6">
      <c r="A66" s="2">
        <v>35</v>
      </c>
      <c r="B66" s="1" t="s">
        <v>38</v>
      </c>
      <c r="C66" s="3">
        <v>44130</v>
      </c>
      <c r="D66" s="1" t="s">
        <v>30</v>
      </c>
      <c r="E66" s="1">
        <v>0.98299999999999998</v>
      </c>
      <c r="F66" s="1">
        <v>0.90600000000000003</v>
      </c>
    </row>
    <row r="67" spans="1:6">
      <c r="A67" s="2">
        <v>35</v>
      </c>
      <c r="B67" s="1" t="s">
        <v>38</v>
      </c>
      <c r="C67" s="3">
        <v>44130</v>
      </c>
      <c r="D67" s="1" t="s">
        <v>30</v>
      </c>
      <c r="E67" s="1">
        <v>1.147</v>
      </c>
      <c r="F67" s="1">
        <v>0.80400000000000005</v>
      </c>
    </row>
    <row r="68" spans="1:6">
      <c r="A68" s="2">
        <v>5</v>
      </c>
      <c r="B68" s="1" t="s">
        <v>40</v>
      </c>
      <c r="C68" s="3">
        <v>44130</v>
      </c>
      <c r="D68" s="1" t="s">
        <v>30</v>
      </c>
      <c r="E68" s="1">
        <v>1.1970000000000001</v>
      </c>
      <c r="F68" s="1">
        <v>1.0389999999999999</v>
      </c>
    </row>
    <row r="69" spans="1:6">
      <c r="A69" s="2">
        <v>5</v>
      </c>
      <c r="B69" s="1" t="s">
        <v>40</v>
      </c>
      <c r="C69" s="3">
        <v>44130</v>
      </c>
      <c r="D69" s="1" t="s">
        <v>30</v>
      </c>
      <c r="E69" s="1">
        <v>0.77900000000000003</v>
      </c>
      <c r="F69" s="1">
        <v>0.76</v>
      </c>
    </row>
    <row r="70" spans="1:6">
      <c r="A70" s="2">
        <v>5</v>
      </c>
      <c r="B70" s="1" t="s">
        <v>40</v>
      </c>
      <c r="C70" s="3">
        <v>44130</v>
      </c>
      <c r="D70" s="1" t="s">
        <v>30</v>
      </c>
      <c r="E70" s="1">
        <v>0.75</v>
      </c>
      <c r="F70" s="1">
        <v>0.66600000000000004</v>
      </c>
    </row>
    <row r="71" spans="1:6">
      <c r="A71" s="2">
        <v>5</v>
      </c>
      <c r="B71" s="1" t="s">
        <v>40</v>
      </c>
      <c r="C71" s="3">
        <v>44130</v>
      </c>
      <c r="D71" s="1" t="s">
        <v>30</v>
      </c>
      <c r="E71" s="1">
        <v>1.0349999999999999</v>
      </c>
      <c r="F71" s="1">
        <v>0.622</v>
      </c>
    </row>
    <row r="72" spans="1:6">
      <c r="A72" s="2">
        <v>5</v>
      </c>
      <c r="B72" s="1" t="s">
        <v>40</v>
      </c>
      <c r="C72" s="3">
        <v>44130</v>
      </c>
      <c r="D72" s="1" t="s">
        <v>30</v>
      </c>
      <c r="E72" s="1">
        <v>0.90600000000000003</v>
      </c>
      <c r="F72" s="1">
        <v>0.89800000000000002</v>
      </c>
    </row>
    <row r="73" spans="1:6">
      <c r="A73" s="2">
        <v>5</v>
      </c>
      <c r="B73" s="1" t="s">
        <v>40</v>
      </c>
      <c r="C73" s="3">
        <v>44130</v>
      </c>
      <c r="D73" s="1" t="s">
        <v>30</v>
      </c>
      <c r="E73" s="1">
        <v>1.044</v>
      </c>
      <c r="F73" s="1">
        <v>0.74099999999999999</v>
      </c>
    </row>
    <row r="74" spans="1:6">
      <c r="A74" s="2">
        <v>12</v>
      </c>
      <c r="B74" s="1" t="s">
        <v>37</v>
      </c>
      <c r="C74" s="3">
        <v>44130</v>
      </c>
      <c r="D74" s="1" t="s">
        <v>30</v>
      </c>
      <c r="E74" s="1">
        <v>0.72199999999999998</v>
      </c>
      <c r="F74" s="1">
        <v>0.70499999999999996</v>
      </c>
    </row>
    <row r="75" spans="1:6">
      <c r="A75" s="2">
        <v>12</v>
      </c>
      <c r="B75" s="1" t="s">
        <v>37</v>
      </c>
      <c r="C75" s="3">
        <v>44130</v>
      </c>
      <c r="D75" s="1" t="s">
        <v>30</v>
      </c>
      <c r="E75" s="1">
        <v>0.92200000000000004</v>
      </c>
      <c r="F75" s="1">
        <v>0.80100000000000005</v>
      </c>
    </row>
    <row r="76" spans="1:6">
      <c r="A76" s="2">
        <v>12</v>
      </c>
      <c r="B76" s="1" t="s">
        <v>37</v>
      </c>
      <c r="C76" s="3">
        <v>44130</v>
      </c>
      <c r="D76" s="1" t="s">
        <v>30</v>
      </c>
      <c r="E76" s="1">
        <v>0.96499999999999997</v>
      </c>
      <c r="F76" s="1">
        <v>0.84299999999999997</v>
      </c>
    </row>
    <row r="77" spans="1:6">
      <c r="A77" s="2">
        <v>12</v>
      </c>
      <c r="B77" s="1" t="s">
        <v>37</v>
      </c>
      <c r="C77" s="3">
        <v>44130</v>
      </c>
      <c r="D77" s="1" t="s">
        <v>30</v>
      </c>
      <c r="E77" s="1">
        <v>0.874</v>
      </c>
      <c r="F77" s="1">
        <v>0.56999999999999995</v>
      </c>
    </row>
    <row r="78" spans="1:6">
      <c r="A78" s="2">
        <v>12</v>
      </c>
      <c r="B78" s="1" t="s">
        <v>37</v>
      </c>
      <c r="C78" s="3">
        <v>44130</v>
      </c>
      <c r="D78" s="1" t="s">
        <v>30</v>
      </c>
      <c r="E78" s="1">
        <v>0.747</v>
      </c>
      <c r="F78" s="1">
        <v>0.71699999999999997</v>
      </c>
    </row>
    <row r="79" spans="1:6">
      <c r="A79" s="2">
        <v>23</v>
      </c>
      <c r="B79" s="1" t="s">
        <v>39</v>
      </c>
      <c r="C79" s="3">
        <v>44130</v>
      </c>
      <c r="D79" s="1" t="s">
        <v>30</v>
      </c>
      <c r="E79" s="1">
        <v>1.2569999999999999</v>
      </c>
      <c r="F79" s="1">
        <v>0.754</v>
      </c>
    </row>
    <row r="80" spans="1:6">
      <c r="A80" s="2">
        <v>23</v>
      </c>
      <c r="B80" s="1" t="s">
        <v>39</v>
      </c>
      <c r="C80" s="3">
        <v>44130</v>
      </c>
      <c r="D80" s="1" t="s">
        <v>30</v>
      </c>
      <c r="E80" s="1">
        <v>0.97</v>
      </c>
      <c r="F80" s="1">
        <v>0.73799999999999999</v>
      </c>
    </row>
    <row r="81" spans="1:6">
      <c r="A81" s="2">
        <v>23</v>
      </c>
      <c r="B81" s="1" t="s">
        <v>39</v>
      </c>
      <c r="C81" s="3">
        <v>44130</v>
      </c>
      <c r="D81" s="1" t="s">
        <v>30</v>
      </c>
      <c r="E81" s="1">
        <v>1.056</v>
      </c>
      <c r="F81" s="1">
        <v>0.95399999999999996</v>
      </c>
    </row>
    <row r="82" spans="1:6">
      <c r="A82" s="2">
        <v>23</v>
      </c>
      <c r="B82" s="1" t="s">
        <v>39</v>
      </c>
      <c r="C82" s="3">
        <v>44130</v>
      </c>
      <c r="D82" s="1" t="s">
        <v>30</v>
      </c>
      <c r="E82" s="1">
        <v>0.99099999999999999</v>
      </c>
      <c r="F82" s="1">
        <v>0.874</v>
      </c>
    </row>
    <row r="83" spans="1:6">
      <c r="A83" s="2">
        <v>23</v>
      </c>
      <c r="B83" s="1" t="s">
        <v>39</v>
      </c>
      <c r="C83" s="3">
        <v>44130</v>
      </c>
      <c r="D83" s="1" t="s">
        <v>30</v>
      </c>
      <c r="E83" s="1">
        <v>0.76300000000000001</v>
      </c>
      <c r="F83" s="1">
        <v>0.73899999999999999</v>
      </c>
    </row>
    <row r="84" spans="1:6">
      <c r="A84" s="2">
        <v>40</v>
      </c>
      <c r="B84" s="1" t="s">
        <v>38</v>
      </c>
      <c r="C84" s="3">
        <v>44130</v>
      </c>
      <c r="D84" s="1" t="s">
        <v>30</v>
      </c>
      <c r="E84" s="1">
        <v>0.80100000000000005</v>
      </c>
      <c r="F84" s="1">
        <v>0.75800000000000001</v>
      </c>
    </row>
    <row r="85" spans="1:6">
      <c r="A85" s="2">
        <v>40</v>
      </c>
      <c r="B85" s="1" t="s">
        <v>38</v>
      </c>
      <c r="C85" s="3">
        <v>44130</v>
      </c>
      <c r="D85" s="1" t="s">
        <v>30</v>
      </c>
      <c r="E85" s="1">
        <v>1.0820000000000001</v>
      </c>
      <c r="F85" s="1">
        <v>0.58299999999999996</v>
      </c>
    </row>
    <row r="86" spans="1:6">
      <c r="A86" s="2">
        <v>40</v>
      </c>
      <c r="B86" s="1" t="s">
        <v>38</v>
      </c>
      <c r="C86" s="3">
        <v>44130</v>
      </c>
      <c r="D86" s="1" t="s">
        <v>30</v>
      </c>
      <c r="E86" s="1">
        <v>0.85199999999999998</v>
      </c>
      <c r="F86" s="1">
        <v>0.70699999999999996</v>
      </c>
    </row>
    <row r="87" spans="1:6">
      <c r="A87" s="2">
        <v>40</v>
      </c>
      <c r="B87" s="1" t="s">
        <v>38</v>
      </c>
      <c r="C87" s="3">
        <v>44130</v>
      </c>
      <c r="D87" s="1" t="s">
        <v>30</v>
      </c>
      <c r="E87" s="1">
        <v>1.0309999999999999</v>
      </c>
      <c r="F87" s="1">
        <v>0.71599999999999997</v>
      </c>
    </row>
    <row r="88" spans="1:6">
      <c r="A88" s="2">
        <v>40</v>
      </c>
      <c r="B88" s="1" t="s">
        <v>38</v>
      </c>
      <c r="C88" s="3">
        <v>44130</v>
      </c>
      <c r="D88" s="1" t="s">
        <v>30</v>
      </c>
      <c r="E88" s="1">
        <v>0.75700000000000001</v>
      </c>
      <c r="F88" s="1">
        <v>0.66300000000000003</v>
      </c>
    </row>
    <row r="89" spans="1:6">
      <c r="A89" s="2">
        <v>40</v>
      </c>
      <c r="B89" s="1" t="s">
        <v>38</v>
      </c>
      <c r="C89" s="3">
        <v>44130</v>
      </c>
      <c r="D89" s="1" t="s">
        <v>30</v>
      </c>
      <c r="E89" s="1">
        <v>0.72799999999999998</v>
      </c>
      <c r="F89" s="1">
        <v>0.70699999999999996</v>
      </c>
    </row>
    <row r="90" spans="1:6">
      <c r="A90" s="2">
        <v>30</v>
      </c>
      <c r="B90" s="1" t="s">
        <v>37</v>
      </c>
      <c r="C90" s="3">
        <v>44130</v>
      </c>
      <c r="D90" s="1" t="s">
        <v>30</v>
      </c>
      <c r="E90" s="1">
        <v>0.60899999999999999</v>
      </c>
      <c r="F90" s="1">
        <v>0.51700000000000002</v>
      </c>
    </row>
    <row r="91" spans="1:6">
      <c r="A91" s="2">
        <v>30</v>
      </c>
      <c r="B91" s="1" t="s">
        <v>37</v>
      </c>
      <c r="C91" s="3">
        <v>44130</v>
      </c>
      <c r="D91" s="1" t="s">
        <v>30</v>
      </c>
      <c r="E91" s="1">
        <v>0.626</v>
      </c>
      <c r="F91" s="1">
        <v>0.52100000000000002</v>
      </c>
    </row>
    <row r="92" spans="1:6">
      <c r="A92" s="2">
        <v>30</v>
      </c>
      <c r="B92" s="1" t="s">
        <v>37</v>
      </c>
      <c r="C92" s="3">
        <v>44130</v>
      </c>
      <c r="D92" s="1" t="s">
        <v>30</v>
      </c>
      <c r="E92" s="1">
        <v>0.65200000000000002</v>
      </c>
      <c r="F92" s="1">
        <v>0.44800000000000001</v>
      </c>
    </row>
    <row r="93" spans="1:6">
      <c r="A93" s="2">
        <v>30</v>
      </c>
      <c r="B93" s="1" t="s">
        <v>37</v>
      </c>
      <c r="C93" s="3">
        <v>44130</v>
      </c>
      <c r="D93" s="1" t="s">
        <v>30</v>
      </c>
      <c r="E93" s="1">
        <v>0.64100000000000001</v>
      </c>
      <c r="F93" s="1">
        <v>0.54600000000000004</v>
      </c>
    </row>
    <row r="94" spans="1:6">
      <c r="A94" s="2">
        <v>30</v>
      </c>
      <c r="B94" s="1" t="s">
        <v>37</v>
      </c>
      <c r="C94" s="3">
        <v>44130</v>
      </c>
      <c r="D94" s="1" t="s">
        <v>30</v>
      </c>
      <c r="E94" s="1">
        <v>0.58199999999999996</v>
      </c>
      <c r="F94" s="1">
        <v>0.56999999999999995</v>
      </c>
    </row>
    <row r="95" spans="1:6">
      <c r="A95" s="2">
        <v>30</v>
      </c>
      <c r="B95" s="1" t="s">
        <v>37</v>
      </c>
      <c r="C95" s="3">
        <v>44130</v>
      </c>
      <c r="D95" s="1" t="s">
        <v>30</v>
      </c>
      <c r="E95" s="1">
        <v>0.72699999999999998</v>
      </c>
      <c r="F95" s="1">
        <v>0.72</v>
      </c>
    </row>
    <row r="96" spans="1:6">
      <c r="A96" s="2">
        <v>9</v>
      </c>
      <c r="B96" s="1" t="s">
        <v>37</v>
      </c>
      <c r="C96" s="3">
        <v>44130</v>
      </c>
      <c r="D96" s="1" t="s">
        <v>30</v>
      </c>
      <c r="E96" s="1">
        <v>0.76100000000000001</v>
      </c>
      <c r="F96" s="1">
        <v>0.66300000000000003</v>
      </c>
    </row>
    <row r="97" spans="1:6">
      <c r="A97" s="2">
        <v>9</v>
      </c>
      <c r="B97" s="1" t="s">
        <v>37</v>
      </c>
      <c r="C97" s="3">
        <v>44130</v>
      </c>
      <c r="D97" s="1" t="s">
        <v>30</v>
      </c>
      <c r="E97" s="1">
        <v>0.60399999999999998</v>
      </c>
      <c r="F97" s="1">
        <v>0.59499999999999997</v>
      </c>
    </row>
    <row r="98" spans="1:6">
      <c r="A98" s="2">
        <v>9</v>
      </c>
      <c r="B98" s="1" t="s">
        <v>37</v>
      </c>
      <c r="C98" s="3">
        <v>44130</v>
      </c>
      <c r="D98" s="1" t="s">
        <v>30</v>
      </c>
      <c r="E98" s="1">
        <v>0.72299999999999998</v>
      </c>
      <c r="F98" s="1">
        <v>0.63700000000000001</v>
      </c>
    </row>
    <row r="99" spans="1:6">
      <c r="A99" s="2">
        <v>9</v>
      </c>
      <c r="B99" s="1" t="s">
        <v>37</v>
      </c>
      <c r="C99" s="3">
        <v>44130</v>
      </c>
      <c r="D99" s="1" t="s">
        <v>30</v>
      </c>
      <c r="E99" s="1">
        <v>0.89400000000000002</v>
      </c>
      <c r="F99" s="1">
        <v>0.73799999999999999</v>
      </c>
    </row>
    <row r="100" spans="1:6">
      <c r="A100" s="2">
        <v>9</v>
      </c>
      <c r="B100" s="1" t="s">
        <v>37</v>
      </c>
      <c r="C100" s="3">
        <v>44130</v>
      </c>
      <c r="D100" s="1" t="s">
        <v>30</v>
      </c>
      <c r="E100" s="1">
        <v>0.73299999999999998</v>
      </c>
      <c r="F100" s="1">
        <v>0.71499999999999997</v>
      </c>
    </row>
    <row r="101" spans="1:6">
      <c r="A101" s="2">
        <v>9</v>
      </c>
      <c r="B101" s="1" t="s">
        <v>37</v>
      </c>
      <c r="C101" s="3">
        <v>44130</v>
      </c>
      <c r="D101" s="1" t="s">
        <v>30</v>
      </c>
      <c r="E101" s="1">
        <v>0.624</v>
      </c>
      <c r="F101" s="1">
        <v>0.59399999999999997</v>
      </c>
    </row>
    <row r="102" spans="1:6">
      <c r="A102" s="2">
        <v>26</v>
      </c>
      <c r="B102" s="1" t="s">
        <v>39</v>
      </c>
      <c r="C102" s="3">
        <v>44130</v>
      </c>
      <c r="D102" s="1" t="s">
        <v>30</v>
      </c>
      <c r="E102" s="1">
        <v>0.83099999999999996</v>
      </c>
      <c r="F102" s="1">
        <v>0.67600000000000005</v>
      </c>
    </row>
    <row r="103" spans="1:6">
      <c r="A103" s="2">
        <v>26</v>
      </c>
      <c r="B103" s="1" t="s">
        <v>39</v>
      </c>
      <c r="C103" s="3">
        <v>44130</v>
      </c>
      <c r="D103" s="1" t="s">
        <v>30</v>
      </c>
      <c r="E103" s="1">
        <v>1.008</v>
      </c>
      <c r="F103" s="1">
        <v>0.59499999999999997</v>
      </c>
    </row>
    <row r="104" spans="1:6">
      <c r="A104" s="2">
        <v>26</v>
      </c>
      <c r="B104" s="1" t="s">
        <v>39</v>
      </c>
      <c r="C104" s="3">
        <v>44130</v>
      </c>
      <c r="D104" s="1" t="s">
        <v>30</v>
      </c>
      <c r="E104" s="1">
        <v>1.143</v>
      </c>
      <c r="F104" s="1">
        <v>0.67</v>
      </c>
    </row>
    <row r="105" spans="1:6">
      <c r="A105" s="2">
        <v>26</v>
      </c>
      <c r="B105" s="1" t="s">
        <v>39</v>
      </c>
      <c r="C105" s="3">
        <v>44130</v>
      </c>
      <c r="D105" s="1" t="s">
        <v>30</v>
      </c>
      <c r="E105" s="1">
        <v>1.2470000000000001</v>
      </c>
      <c r="F105" s="1">
        <v>0.60599999999999998</v>
      </c>
    </row>
    <row r="106" spans="1:6">
      <c r="A106" s="2">
        <v>26</v>
      </c>
      <c r="B106" s="1" t="s">
        <v>39</v>
      </c>
      <c r="C106" s="3">
        <v>44130</v>
      </c>
      <c r="D106" s="1" t="s">
        <v>30</v>
      </c>
      <c r="E106" s="1">
        <v>1.0740000000000001</v>
      </c>
      <c r="F106" s="1">
        <v>0.72499999999999998</v>
      </c>
    </row>
    <row r="107" spans="1:6">
      <c r="A107" s="2">
        <v>26</v>
      </c>
      <c r="B107" s="1" t="s">
        <v>39</v>
      </c>
      <c r="C107" s="3">
        <v>44130</v>
      </c>
      <c r="D107" s="1" t="s">
        <v>30</v>
      </c>
      <c r="E107" s="1">
        <v>0.63500000000000001</v>
      </c>
      <c r="F107" s="1">
        <v>0.621</v>
      </c>
    </row>
    <row r="108" spans="1:6">
      <c r="A108" s="2">
        <v>42</v>
      </c>
      <c r="B108" s="1" t="s">
        <v>38</v>
      </c>
      <c r="C108" s="3">
        <v>44130</v>
      </c>
      <c r="D108" s="1" t="s">
        <v>30</v>
      </c>
    </row>
    <row r="109" spans="1:6">
      <c r="A109" s="2">
        <v>42</v>
      </c>
      <c r="B109" s="1" t="s">
        <v>38</v>
      </c>
      <c r="C109" s="3">
        <v>44130</v>
      </c>
      <c r="D109" s="1" t="s">
        <v>30</v>
      </c>
    </row>
    <row r="110" spans="1:6">
      <c r="A110" s="2">
        <v>42</v>
      </c>
      <c r="B110" s="1" t="s">
        <v>38</v>
      </c>
      <c r="C110" s="3">
        <v>44130</v>
      </c>
      <c r="D110" s="1" t="s">
        <v>30</v>
      </c>
    </row>
    <row r="111" spans="1:6">
      <c r="A111" s="2">
        <v>42</v>
      </c>
      <c r="B111" s="1" t="s">
        <v>38</v>
      </c>
      <c r="C111" s="3">
        <v>44130</v>
      </c>
      <c r="D111" s="1" t="s">
        <v>30</v>
      </c>
    </row>
    <row r="112" spans="1:6">
      <c r="A112" s="2">
        <v>42</v>
      </c>
      <c r="B112" s="1" t="s">
        <v>38</v>
      </c>
      <c r="C112" s="3">
        <v>44130</v>
      </c>
      <c r="D112" s="1" t="s">
        <v>30</v>
      </c>
    </row>
    <row r="113" spans="1:4">
      <c r="A113" s="2">
        <v>42</v>
      </c>
      <c r="B113" s="1" t="s">
        <v>38</v>
      </c>
      <c r="C113" s="3">
        <v>44130</v>
      </c>
      <c r="D113" s="1" t="s">
        <v>30</v>
      </c>
    </row>
    <row r="115" spans="1:4">
      <c r="A115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F991-069A-F347-8972-5A6BB1DB4C91}">
  <sheetPr codeName="Sheet2"/>
  <dimension ref="A1:K88"/>
  <sheetViews>
    <sheetView zoomScale="104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9" sqref="K9"/>
    </sheetView>
  </sheetViews>
  <sheetFormatPr defaultColWidth="10.81640625" defaultRowHeight="14.5"/>
  <cols>
    <col min="1" max="16384" width="10.81640625" style="15"/>
  </cols>
  <sheetData>
    <row r="1" spans="1:11">
      <c r="A1" s="12" t="s">
        <v>3</v>
      </c>
      <c r="B1" s="13" t="s">
        <v>7</v>
      </c>
      <c r="C1" s="13" t="s">
        <v>8</v>
      </c>
      <c r="D1" s="13" t="s">
        <v>9</v>
      </c>
      <c r="E1" s="14" t="s">
        <v>28</v>
      </c>
      <c r="F1" s="14" t="s">
        <v>29</v>
      </c>
      <c r="G1" s="13" t="s">
        <v>6</v>
      </c>
      <c r="H1" s="13" t="s">
        <v>27</v>
      </c>
      <c r="I1" s="13" t="s">
        <v>36</v>
      </c>
      <c r="J1" s="13" t="s">
        <v>35</v>
      </c>
    </row>
    <row r="2" spans="1:11">
      <c r="A2" s="15">
        <v>52</v>
      </c>
      <c r="E2" s="15">
        <v>0.97099999999999997</v>
      </c>
      <c r="F2" s="15">
        <v>0.749</v>
      </c>
      <c r="G2" s="15">
        <f>(4/3)*3.14*E2*F2^2</f>
        <v>2.2806111852533331</v>
      </c>
      <c r="H2" s="15">
        <f>AVERAGE(G2:G7)</f>
        <v>1.6512719843244439</v>
      </c>
      <c r="K2" s="15" t="s">
        <v>42</v>
      </c>
    </row>
    <row r="3" spans="1:11">
      <c r="A3" s="15">
        <v>52</v>
      </c>
      <c r="E3" s="15">
        <v>0.70299999999999996</v>
      </c>
      <c r="F3" s="15">
        <v>0.56299999999999994</v>
      </c>
      <c r="G3" s="15">
        <f t="shared" ref="G3:G66" si="0">(4/3)*3.14*E3*F3^2</f>
        <v>0.93291161330666639</v>
      </c>
    </row>
    <row r="4" spans="1:11">
      <c r="A4" s="15">
        <v>52</v>
      </c>
      <c r="E4" s="15">
        <v>0.86299999999999999</v>
      </c>
      <c r="F4" s="15">
        <v>0.60899999999999999</v>
      </c>
      <c r="G4" s="15">
        <f t="shared" si="0"/>
        <v>1.3400276685599997</v>
      </c>
    </row>
    <row r="5" spans="1:11">
      <c r="A5" s="15">
        <v>52</v>
      </c>
      <c r="E5" s="15">
        <v>0.77800000000000002</v>
      </c>
      <c r="F5" s="15">
        <v>0.82199999999999995</v>
      </c>
      <c r="G5" s="15">
        <f t="shared" si="0"/>
        <v>2.2008559430399997</v>
      </c>
    </row>
    <row r="6" spans="1:11">
      <c r="A6" s="15">
        <v>52</v>
      </c>
      <c r="E6" s="15">
        <v>0.71799999999999997</v>
      </c>
      <c r="F6" s="15">
        <v>0.76900000000000002</v>
      </c>
      <c r="G6" s="15">
        <f t="shared" si="0"/>
        <v>1.7776469356266666</v>
      </c>
    </row>
    <row r="7" spans="1:11">
      <c r="A7" s="15">
        <v>52</v>
      </c>
      <c r="E7" s="15">
        <v>1.022</v>
      </c>
      <c r="F7" s="15">
        <v>0.56699999999999995</v>
      </c>
      <c r="G7" s="15">
        <f t="shared" si="0"/>
        <v>1.3755785601599999</v>
      </c>
    </row>
    <row r="8" spans="1:11">
      <c r="A8" s="15">
        <v>54</v>
      </c>
      <c r="E8" s="15">
        <v>0.90900000000000003</v>
      </c>
      <c r="F8" s="15">
        <v>0.59399999999999997</v>
      </c>
      <c r="G8" s="15">
        <f t="shared" si="0"/>
        <v>1.34278090848</v>
      </c>
      <c r="H8" s="15">
        <f>AVERAGE(G8:G13)</f>
        <v>1.7071563052800001</v>
      </c>
    </row>
    <row r="9" spans="1:11">
      <c r="A9" s="15">
        <v>54</v>
      </c>
      <c r="E9" s="15">
        <v>0.90600000000000003</v>
      </c>
      <c r="F9" s="15">
        <v>0.86599999999999999</v>
      </c>
      <c r="G9" s="15">
        <f t="shared" si="0"/>
        <v>2.8446731027199998</v>
      </c>
    </row>
    <row r="10" spans="1:11">
      <c r="A10" s="15">
        <v>54</v>
      </c>
      <c r="E10" s="15">
        <v>0.95099999999999996</v>
      </c>
      <c r="F10" s="15">
        <v>0.54200000000000004</v>
      </c>
      <c r="G10" s="15">
        <f t="shared" si="0"/>
        <v>1.16962724128</v>
      </c>
    </row>
    <row r="11" spans="1:11">
      <c r="A11" s="15">
        <v>54</v>
      </c>
      <c r="E11" s="15">
        <v>0.80700000000000005</v>
      </c>
      <c r="F11" s="15">
        <v>0.78700000000000003</v>
      </c>
      <c r="G11" s="15">
        <f t="shared" si="0"/>
        <v>2.0926248781600005</v>
      </c>
    </row>
    <row r="12" spans="1:11">
      <c r="A12" s="15">
        <v>54</v>
      </c>
      <c r="E12" s="15">
        <v>0.79200000000000004</v>
      </c>
      <c r="F12" s="15">
        <v>0.73399999999999999</v>
      </c>
      <c r="G12" s="15">
        <f t="shared" si="0"/>
        <v>1.7864286950400001</v>
      </c>
    </row>
    <row r="13" spans="1:11">
      <c r="A13" s="15">
        <v>54</v>
      </c>
      <c r="E13" s="15">
        <v>0.65700000000000003</v>
      </c>
      <c r="F13" s="15">
        <v>0.60499999999999998</v>
      </c>
      <c r="G13" s="15">
        <f t="shared" si="0"/>
        <v>1.0068030059999999</v>
      </c>
    </row>
    <row r="14" spans="1:11">
      <c r="A14" s="15">
        <v>34</v>
      </c>
      <c r="E14" s="15">
        <v>0.73899999999999999</v>
      </c>
      <c r="F14" s="15">
        <v>0.69499999999999995</v>
      </c>
      <c r="G14" s="15">
        <f t="shared" si="0"/>
        <v>1.4944535886666663</v>
      </c>
      <c r="H14" s="15">
        <f>AVERAGE(G14:G19)</f>
        <v>1.5579930733199998</v>
      </c>
    </row>
    <row r="15" spans="1:11">
      <c r="A15" s="15">
        <v>34</v>
      </c>
      <c r="E15" s="15">
        <v>1.0900000000000001</v>
      </c>
      <c r="F15" s="15">
        <v>0.61399999999999999</v>
      </c>
      <c r="G15" s="15">
        <f t="shared" si="0"/>
        <v>1.7204086794666666</v>
      </c>
    </row>
    <row r="16" spans="1:11">
      <c r="A16" s="15">
        <v>34</v>
      </c>
      <c r="E16" s="15">
        <v>0.78400000000000003</v>
      </c>
      <c r="F16" s="15">
        <v>0.67700000000000005</v>
      </c>
      <c r="G16" s="15">
        <f t="shared" si="0"/>
        <v>1.5043946653866669</v>
      </c>
    </row>
    <row r="17" spans="1:8">
      <c r="A17" s="15">
        <v>34</v>
      </c>
      <c r="E17" s="15">
        <v>0.84</v>
      </c>
      <c r="F17" s="15">
        <v>0.76800000000000002</v>
      </c>
      <c r="G17" s="15">
        <f t="shared" si="0"/>
        <v>2.0742930432</v>
      </c>
    </row>
    <row r="18" spans="1:8">
      <c r="A18" s="15">
        <v>34</v>
      </c>
      <c r="E18" s="15">
        <v>1.42</v>
      </c>
      <c r="F18" s="15">
        <v>0.48599999999999999</v>
      </c>
      <c r="G18" s="15">
        <f t="shared" si="0"/>
        <v>1.4042009663999999</v>
      </c>
    </row>
    <row r="19" spans="1:8">
      <c r="A19" s="15">
        <v>34</v>
      </c>
      <c r="E19" s="15">
        <v>0.69</v>
      </c>
      <c r="F19" s="15">
        <v>0.63100000000000001</v>
      </c>
      <c r="G19" s="15">
        <f t="shared" si="0"/>
        <v>1.1502074967999998</v>
      </c>
    </row>
    <row r="20" spans="1:8">
      <c r="A20" s="15">
        <v>101</v>
      </c>
      <c r="E20" s="15">
        <v>0.69299999999999995</v>
      </c>
      <c r="F20" s="15">
        <v>0.504</v>
      </c>
      <c r="G20" s="15">
        <f t="shared" si="0"/>
        <v>0.73699186175999998</v>
      </c>
      <c r="H20" s="15">
        <f>AVERAGE(G20:G25)</f>
        <v>1.1042974828355554</v>
      </c>
    </row>
    <row r="21" spans="1:8">
      <c r="A21" s="15">
        <v>101</v>
      </c>
      <c r="E21" s="15">
        <v>0.66</v>
      </c>
      <c r="F21" s="15">
        <v>0.64500000000000002</v>
      </c>
      <c r="G21" s="15">
        <f t="shared" si="0"/>
        <v>1.14956028</v>
      </c>
    </row>
    <row r="22" spans="1:8">
      <c r="A22" s="15">
        <v>101</v>
      </c>
      <c r="E22" s="15">
        <v>0.81</v>
      </c>
      <c r="F22" s="15">
        <v>0.73</v>
      </c>
      <c r="G22" s="15">
        <f t="shared" si="0"/>
        <v>1.8071704799999997</v>
      </c>
    </row>
    <row r="23" spans="1:8">
      <c r="A23" s="15">
        <v>101</v>
      </c>
      <c r="E23" s="15">
        <v>0.64400000000000002</v>
      </c>
      <c r="F23" s="15">
        <v>0.61299999999999999</v>
      </c>
      <c r="G23" s="15">
        <f t="shared" si="0"/>
        <v>1.0131533880533332</v>
      </c>
    </row>
    <row r="24" spans="1:8">
      <c r="A24" s="15">
        <v>101</v>
      </c>
      <c r="E24" s="15">
        <v>0.68799999999999994</v>
      </c>
      <c r="F24" s="15">
        <v>0.64</v>
      </c>
      <c r="G24" s="15">
        <f t="shared" si="0"/>
        <v>1.1798227626666666</v>
      </c>
    </row>
    <row r="25" spans="1:8">
      <c r="A25" s="15">
        <v>101</v>
      </c>
      <c r="E25" s="15">
        <v>0.59</v>
      </c>
      <c r="F25" s="15">
        <v>0.54700000000000004</v>
      </c>
      <c r="G25" s="15">
        <f t="shared" si="0"/>
        <v>0.73908612453333344</v>
      </c>
    </row>
    <row r="26" spans="1:8">
      <c r="A26" s="15">
        <v>33</v>
      </c>
      <c r="E26" s="15">
        <v>0.98299999999999998</v>
      </c>
      <c r="F26" s="15">
        <v>0.84899999999999998</v>
      </c>
      <c r="G26" s="15">
        <f t="shared" si="0"/>
        <v>2.9664517101599994</v>
      </c>
      <c r="H26" s="15">
        <f>AVERAGE(G26:G31)</f>
        <v>2.6817674653822219</v>
      </c>
    </row>
    <row r="27" spans="1:8">
      <c r="A27" s="15">
        <v>33</v>
      </c>
      <c r="E27" s="15">
        <v>1.0309999999999999</v>
      </c>
      <c r="F27" s="15">
        <v>0.80200000000000005</v>
      </c>
      <c r="G27" s="15">
        <f t="shared" si="0"/>
        <v>2.7763600498133334</v>
      </c>
    </row>
    <row r="28" spans="1:8">
      <c r="A28" s="15">
        <v>33</v>
      </c>
      <c r="E28" s="15">
        <v>1.117</v>
      </c>
      <c r="F28" s="15">
        <v>0.83399999999999996</v>
      </c>
      <c r="G28" s="15">
        <f t="shared" si="0"/>
        <v>3.2527722710399996</v>
      </c>
    </row>
    <row r="29" spans="1:8">
      <c r="A29" s="15">
        <v>33</v>
      </c>
      <c r="E29" s="15">
        <v>0.81599999999999995</v>
      </c>
      <c r="F29" s="15">
        <v>0.751</v>
      </c>
      <c r="G29" s="15">
        <f t="shared" si="0"/>
        <v>1.9268078963199997</v>
      </c>
    </row>
    <row r="30" spans="1:8">
      <c r="A30" s="15">
        <v>33</v>
      </c>
      <c r="E30" s="15">
        <v>1.4239999999999999</v>
      </c>
      <c r="F30" s="15">
        <v>0.7</v>
      </c>
      <c r="G30" s="15">
        <f t="shared" si="0"/>
        <v>2.9212885333333327</v>
      </c>
    </row>
    <row r="31" spans="1:8">
      <c r="A31" s="15">
        <v>33</v>
      </c>
      <c r="E31" s="15">
        <v>0.75700000000000001</v>
      </c>
      <c r="F31" s="15">
        <v>0.84199999999999997</v>
      </c>
      <c r="G31" s="15">
        <f t="shared" si="0"/>
        <v>2.2469243316266665</v>
      </c>
    </row>
    <row r="32" spans="1:8">
      <c r="A32" s="15">
        <v>4</v>
      </c>
      <c r="E32" s="15">
        <v>1.3169999999999999</v>
      </c>
      <c r="F32" s="15">
        <v>0.7</v>
      </c>
      <c r="G32" s="15">
        <f t="shared" si="0"/>
        <v>2.7017815999999995</v>
      </c>
      <c r="H32" s="15">
        <f>AVERAGE(G32:G37)</f>
        <v>2.2900422924800004</v>
      </c>
    </row>
    <row r="33" spans="1:8">
      <c r="A33" s="15">
        <v>4</v>
      </c>
      <c r="E33" s="15">
        <v>0.84199999999999997</v>
      </c>
      <c r="F33" s="15">
        <v>0.80200000000000005</v>
      </c>
      <c r="G33" s="15">
        <f t="shared" si="0"/>
        <v>2.2674055886933338</v>
      </c>
    </row>
    <row r="34" spans="1:8">
      <c r="A34" s="15">
        <v>4</v>
      </c>
      <c r="E34" s="15">
        <v>1.1180000000000001</v>
      </c>
      <c r="F34" s="15">
        <v>0.80500000000000005</v>
      </c>
      <c r="G34" s="15">
        <f t="shared" si="0"/>
        <v>3.0332062973333342</v>
      </c>
    </row>
    <row r="35" spans="1:8">
      <c r="A35" s="15">
        <v>4</v>
      </c>
      <c r="E35" s="15">
        <v>1.0629999999999999</v>
      </c>
      <c r="F35" s="15">
        <v>0.59599999999999997</v>
      </c>
      <c r="G35" s="15">
        <f t="shared" si="0"/>
        <v>1.5808627588266664</v>
      </c>
    </row>
    <row r="36" spans="1:8">
      <c r="A36" s="15">
        <v>4</v>
      </c>
      <c r="E36" s="15">
        <v>1.03</v>
      </c>
      <c r="F36" s="15">
        <v>0.623</v>
      </c>
      <c r="G36" s="15">
        <f t="shared" si="0"/>
        <v>1.6737157490666668</v>
      </c>
    </row>
    <row r="37" spans="1:8">
      <c r="A37" s="15">
        <v>4</v>
      </c>
      <c r="E37" s="15">
        <v>1.0920000000000001</v>
      </c>
      <c r="F37" s="15">
        <v>0.73699999999999999</v>
      </c>
      <c r="G37" s="15">
        <f t="shared" si="0"/>
        <v>2.4832817609600002</v>
      </c>
    </row>
    <row r="38" spans="1:8">
      <c r="A38" s="15">
        <v>20</v>
      </c>
      <c r="E38" s="15">
        <v>1.0720000000000001</v>
      </c>
      <c r="F38" s="15">
        <v>0.85299999999999998</v>
      </c>
      <c r="G38" s="15">
        <f t="shared" si="0"/>
        <v>3.2655868036266664</v>
      </c>
      <c r="H38" s="15">
        <f>AVERAGE(G38:G43)</f>
        <v>3.481048433791111</v>
      </c>
    </row>
    <row r="39" spans="1:8">
      <c r="A39" s="15">
        <v>20</v>
      </c>
      <c r="E39" s="15">
        <v>1.2969999999999999</v>
      </c>
      <c r="F39" s="15">
        <v>0.86099999999999999</v>
      </c>
      <c r="G39" s="15">
        <f t="shared" si="0"/>
        <v>4.0254521042399993</v>
      </c>
    </row>
    <row r="40" spans="1:8">
      <c r="A40" s="15">
        <v>20</v>
      </c>
      <c r="E40" s="15">
        <v>1.343</v>
      </c>
      <c r="F40" s="15">
        <v>0.83699999999999997</v>
      </c>
      <c r="G40" s="15">
        <f t="shared" si="0"/>
        <v>3.93908464584</v>
      </c>
    </row>
    <row r="41" spans="1:8">
      <c r="A41" s="15">
        <v>20</v>
      </c>
      <c r="E41" s="15">
        <v>1.407</v>
      </c>
      <c r="F41" s="15">
        <v>0.71899999999999997</v>
      </c>
      <c r="G41" s="15">
        <f t="shared" si="0"/>
        <v>3.0452311450400003</v>
      </c>
    </row>
    <row r="42" spans="1:8">
      <c r="A42" s="15">
        <v>20</v>
      </c>
      <c r="E42" s="15">
        <v>0.97799999999999998</v>
      </c>
      <c r="F42" s="15">
        <v>0.86</v>
      </c>
      <c r="G42" s="15">
        <f t="shared" si="0"/>
        <v>3.0283365759999992</v>
      </c>
    </row>
    <row r="43" spans="1:8">
      <c r="A43" s="15">
        <v>20</v>
      </c>
      <c r="E43" s="15">
        <v>1.1000000000000001</v>
      </c>
      <c r="F43" s="15">
        <v>0.88200000000000001</v>
      </c>
      <c r="G43" s="15">
        <f t="shared" si="0"/>
        <v>3.5825993280000001</v>
      </c>
    </row>
    <row r="44" spans="1:8">
      <c r="A44" s="15">
        <v>3</v>
      </c>
      <c r="E44" s="15">
        <v>1.657</v>
      </c>
      <c r="F44" s="15">
        <v>0.72499999999999998</v>
      </c>
      <c r="G44" s="15">
        <f t="shared" si="0"/>
        <v>3.6464218166666664</v>
      </c>
      <c r="H44" s="15">
        <f>AVERAGE(G44:G49)</f>
        <v>3.2186124880577776</v>
      </c>
    </row>
    <row r="45" spans="1:8">
      <c r="A45" s="15">
        <v>3</v>
      </c>
      <c r="E45" s="15">
        <v>1.71</v>
      </c>
      <c r="F45" s="15">
        <v>0.753</v>
      </c>
      <c r="G45" s="15">
        <f t="shared" si="0"/>
        <v>4.0593308327999997</v>
      </c>
    </row>
    <row r="46" spans="1:8">
      <c r="A46" s="15">
        <v>3</v>
      </c>
      <c r="E46" s="15">
        <v>1.3540000000000001</v>
      </c>
      <c r="F46" s="15">
        <v>0.70299999999999996</v>
      </c>
      <c r="G46" s="15">
        <f t="shared" si="0"/>
        <v>2.8015456213866665</v>
      </c>
    </row>
    <row r="47" spans="1:8">
      <c r="A47" s="15">
        <v>3</v>
      </c>
      <c r="E47" s="15">
        <v>1.042</v>
      </c>
      <c r="F47" s="15">
        <v>0.88800000000000001</v>
      </c>
      <c r="G47" s="15">
        <f t="shared" si="0"/>
        <v>3.4400284569599999</v>
      </c>
    </row>
    <row r="48" spans="1:8">
      <c r="A48" s="15">
        <v>3</v>
      </c>
      <c r="E48" s="15">
        <v>1.0149999999999999</v>
      </c>
      <c r="F48" s="15">
        <v>0.79200000000000004</v>
      </c>
      <c r="G48" s="15">
        <f t="shared" si="0"/>
        <v>2.6655374591999998</v>
      </c>
    </row>
    <row r="49" spans="1:8">
      <c r="A49" s="15">
        <v>3</v>
      </c>
      <c r="E49" s="15">
        <v>1.4359999999999999</v>
      </c>
      <c r="F49" s="15">
        <v>0.67</v>
      </c>
      <c r="G49" s="15">
        <f t="shared" si="0"/>
        <v>2.6988107413333338</v>
      </c>
    </row>
    <row r="50" spans="1:8">
      <c r="A50" s="15">
        <v>31</v>
      </c>
      <c r="E50" s="15">
        <v>1.2010000000000001</v>
      </c>
      <c r="F50" s="15">
        <v>0.60699999999999998</v>
      </c>
      <c r="G50" s="15">
        <f t="shared" si="0"/>
        <v>1.8526303491466665</v>
      </c>
      <c r="H50" s="15">
        <f>AVERAGE(G50:G55)</f>
        <v>4.7172623873777786</v>
      </c>
    </row>
    <row r="51" spans="1:8">
      <c r="A51" s="15">
        <v>31</v>
      </c>
      <c r="E51" s="15">
        <v>1.369</v>
      </c>
      <c r="F51" s="15">
        <v>0.80300000000000005</v>
      </c>
      <c r="G51" s="15">
        <f t="shared" si="0"/>
        <v>3.6957528745866672</v>
      </c>
    </row>
    <row r="52" spans="1:8">
      <c r="A52" s="15">
        <v>31</v>
      </c>
      <c r="E52" s="15">
        <v>1.65</v>
      </c>
      <c r="F52" s="15">
        <v>1.117</v>
      </c>
      <c r="G52" s="15">
        <f t="shared" si="0"/>
        <v>8.6190356119999993</v>
      </c>
    </row>
    <row r="53" spans="1:8">
      <c r="A53" s="15">
        <v>31</v>
      </c>
      <c r="E53" s="15">
        <v>1.3380000000000001</v>
      </c>
      <c r="F53" s="15">
        <v>0.81100000000000005</v>
      </c>
      <c r="G53" s="15">
        <f t="shared" si="0"/>
        <v>3.6843951889600008</v>
      </c>
    </row>
    <row r="54" spans="1:8">
      <c r="A54" s="15">
        <v>31</v>
      </c>
      <c r="E54" s="15">
        <v>1.3080000000000001</v>
      </c>
      <c r="F54" s="15">
        <v>0.81699999999999995</v>
      </c>
      <c r="G54" s="15">
        <f t="shared" si="0"/>
        <v>3.6552765622399996</v>
      </c>
    </row>
    <row r="55" spans="1:8">
      <c r="A55" s="15">
        <v>31</v>
      </c>
      <c r="E55" s="15">
        <v>1.1180000000000001</v>
      </c>
      <c r="F55" s="15">
        <v>1.2050000000000001</v>
      </c>
      <c r="G55" s="15">
        <f t="shared" si="0"/>
        <v>6.7964837373333351</v>
      </c>
    </row>
    <row r="56" spans="1:8">
      <c r="A56" s="15">
        <v>19</v>
      </c>
      <c r="E56" s="15">
        <v>1.0980000000000001</v>
      </c>
      <c r="F56" s="15">
        <v>0.61499999999999999</v>
      </c>
      <c r="G56" s="15">
        <f t="shared" si="0"/>
        <v>1.738685196</v>
      </c>
      <c r="H56" s="15">
        <f>AVERAGE(G56:G61)</f>
        <v>3.7706954778755559</v>
      </c>
    </row>
    <row r="57" spans="1:8">
      <c r="A57" s="15">
        <v>19</v>
      </c>
      <c r="E57" s="15">
        <v>1.159</v>
      </c>
      <c r="F57" s="15">
        <v>1.1060000000000001</v>
      </c>
      <c r="G57" s="15">
        <f t="shared" si="0"/>
        <v>5.9355651271466678</v>
      </c>
    </row>
    <row r="58" spans="1:8">
      <c r="A58" s="15">
        <v>19</v>
      </c>
      <c r="E58" s="15">
        <v>0.879</v>
      </c>
      <c r="F58" s="15">
        <v>0.80900000000000005</v>
      </c>
      <c r="G58" s="15">
        <f t="shared" si="0"/>
        <v>2.40854243848</v>
      </c>
    </row>
    <row r="59" spans="1:8">
      <c r="A59" s="15">
        <v>19</v>
      </c>
      <c r="E59" s="15">
        <v>1.107</v>
      </c>
      <c r="F59" s="15">
        <v>1.08</v>
      </c>
      <c r="G59" s="15">
        <f t="shared" si="0"/>
        <v>5.4058440960000009</v>
      </c>
    </row>
    <row r="60" spans="1:8">
      <c r="A60" s="15">
        <v>19</v>
      </c>
      <c r="E60" s="15">
        <v>1.069</v>
      </c>
      <c r="F60" s="15">
        <v>0.998</v>
      </c>
      <c r="G60" s="15">
        <f t="shared" si="0"/>
        <v>4.4576623821866663</v>
      </c>
    </row>
    <row r="61" spans="1:8">
      <c r="A61" s="15">
        <v>19</v>
      </c>
      <c r="E61" s="15">
        <v>0.91300000000000003</v>
      </c>
      <c r="F61" s="15">
        <v>0.83699999999999997</v>
      </c>
      <c r="G61" s="15">
        <f t="shared" si="0"/>
        <v>2.6778736274399999</v>
      </c>
    </row>
    <row r="62" spans="1:8">
      <c r="A62" s="15">
        <v>13</v>
      </c>
      <c r="E62" s="15">
        <v>0.84799999999999998</v>
      </c>
      <c r="F62" s="15">
        <v>0.79500000000000004</v>
      </c>
      <c r="G62" s="15">
        <f t="shared" si="0"/>
        <v>2.2438741440000003</v>
      </c>
      <c r="H62" s="15">
        <f>AVERAGE(G62:G67)</f>
        <v>2.6355848066133336</v>
      </c>
    </row>
    <row r="63" spans="1:8">
      <c r="A63" s="15">
        <v>13</v>
      </c>
      <c r="E63" s="15">
        <v>1.3069999999999999</v>
      </c>
      <c r="F63" s="15">
        <v>0.67400000000000004</v>
      </c>
      <c r="G63" s="15">
        <f t="shared" si="0"/>
        <v>2.4857861579733336</v>
      </c>
    </row>
    <row r="64" spans="1:8">
      <c r="A64" s="15">
        <v>13</v>
      </c>
      <c r="E64" s="15">
        <v>1.0189999999999999</v>
      </c>
      <c r="F64" s="15">
        <v>0.79200000000000004</v>
      </c>
      <c r="G64" s="15">
        <f t="shared" si="0"/>
        <v>2.67604204032</v>
      </c>
    </row>
    <row r="65" spans="1:8">
      <c r="A65" s="15">
        <v>13</v>
      </c>
      <c r="E65" s="15">
        <v>0.99099999999999999</v>
      </c>
      <c r="F65" s="15">
        <v>0.88600000000000001</v>
      </c>
      <c r="G65" s="15">
        <f t="shared" si="0"/>
        <v>3.2569379373866667</v>
      </c>
    </row>
    <row r="66" spans="1:8">
      <c r="A66" s="15">
        <v>13</v>
      </c>
      <c r="E66" s="15">
        <v>0.98399999999999999</v>
      </c>
      <c r="F66" s="15">
        <v>0.82099999999999995</v>
      </c>
      <c r="G66" s="15">
        <f t="shared" si="0"/>
        <v>2.7768332268799996</v>
      </c>
    </row>
    <row r="67" spans="1:8">
      <c r="A67" s="15">
        <v>13</v>
      </c>
      <c r="E67" s="15">
        <v>0.90400000000000003</v>
      </c>
      <c r="F67" s="15">
        <v>0.79200000000000004</v>
      </c>
      <c r="G67" s="15">
        <f t="shared" ref="G67:G79" si="1">(4/3)*3.14*E67*F67^2</f>
        <v>2.3740353331200001</v>
      </c>
    </row>
    <row r="68" spans="1:8">
      <c r="A68" s="15">
        <v>43</v>
      </c>
      <c r="E68" s="15">
        <v>0.98</v>
      </c>
      <c r="F68" s="15">
        <v>0.879</v>
      </c>
      <c r="G68" s="15">
        <f t="shared" si="1"/>
        <v>3.1700945136000001</v>
      </c>
      <c r="H68" s="15">
        <f>AVERAGE(G68:G73)</f>
        <v>2.8750919650622229</v>
      </c>
    </row>
    <row r="69" spans="1:8">
      <c r="A69" s="15">
        <v>43</v>
      </c>
      <c r="E69" s="15">
        <v>0.88400000000000001</v>
      </c>
      <c r="F69" s="15">
        <v>0.77500000000000002</v>
      </c>
      <c r="G69" s="15">
        <f t="shared" si="1"/>
        <v>2.2229211333333336</v>
      </c>
    </row>
    <row r="70" spans="1:8">
      <c r="A70" s="15">
        <v>43</v>
      </c>
      <c r="E70" s="15">
        <v>1.0229999999999999</v>
      </c>
      <c r="F70" s="15">
        <v>0.93700000000000006</v>
      </c>
      <c r="G70" s="15">
        <f t="shared" si="1"/>
        <v>3.76030610824</v>
      </c>
    </row>
    <row r="71" spans="1:8">
      <c r="A71" s="15">
        <v>43</v>
      </c>
      <c r="E71" s="15">
        <v>0.999</v>
      </c>
      <c r="F71" s="15">
        <v>0.80400000000000005</v>
      </c>
      <c r="G71" s="15">
        <f t="shared" si="1"/>
        <v>2.7036219916800004</v>
      </c>
    </row>
    <row r="72" spans="1:8">
      <c r="A72" s="15">
        <v>43</v>
      </c>
      <c r="E72" s="15">
        <v>0.94499999999999995</v>
      </c>
      <c r="F72" s="15">
        <v>0.82499999999999996</v>
      </c>
      <c r="G72" s="15">
        <f t="shared" si="1"/>
        <v>2.6928247499999993</v>
      </c>
    </row>
    <row r="73" spans="1:8">
      <c r="A73" s="15">
        <v>43</v>
      </c>
      <c r="E73" s="15">
        <v>1.391</v>
      </c>
      <c r="F73" s="15">
        <v>0.68100000000000005</v>
      </c>
      <c r="G73" s="15">
        <f t="shared" si="1"/>
        <v>2.7007832935200007</v>
      </c>
    </row>
    <row r="74" spans="1:8">
      <c r="A74" s="15">
        <v>2</v>
      </c>
      <c r="E74" s="15">
        <v>0.67</v>
      </c>
      <c r="F74" s="15">
        <v>0.52800000000000002</v>
      </c>
      <c r="G74" s="15">
        <f t="shared" si="1"/>
        <v>0.7820077056000001</v>
      </c>
      <c r="H74" s="15">
        <f>AVERAGE(G74:G79)</f>
        <v>1.3335477545288892</v>
      </c>
    </row>
    <row r="75" spans="1:8">
      <c r="A75" s="15">
        <v>2</v>
      </c>
      <c r="E75" s="15">
        <v>0.83599999999999997</v>
      </c>
      <c r="F75" s="15">
        <v>0.77800000000000002</v>
      </c>
      <c r="G75" s="15">
        <f t="shared" si="1"/>
        <v>2.1185262818133332</v>
      </c>
    </row>
    <row r="76" spans="1:8">
      <c r="A76" s="15">
        <v>2</v>
      </c>
      <c r="E76" s="15">
        <v>0.87</v>
      </c>
      <c r="F76" s="15">
        <v>0.59499999999999997</v>
      </c>
      <c r="G76" s="15">
        <f t="shared" si="1"/>
        <v>1.2895006599999999</v>
      </c>
    </row>
    <row r="77" spans="1:8">
      <c r="A77" s="15">
        <v>2</v>
      </c>
      <c r="E77" s="15">
        <v>0.60899999999999999</v>
      </c>
      <c r="F77" s="15">
        <v>0.57199999999999995</v>
      </c>
      <c r="G77" s="15">
        <f t="shared" si="1"/>
        <v>0.83421450111999973</v>
      </c>
    </row>
    <row r="78" spans="1:8">
      <c r="A78" s="15">
        <v>2</v>
      </c>
      <c r="E78" s="15">
        <v>0.76700000000000002</v>
      </c>
      <c r="F78" s="15">
        <v>0.56100000000000005</v>
      </c>
      <c r="G78" s="15">
        <f t="shared" si="1"/>
        <v>1.0106236826400004</v>
      </c>
    </row>
    <row r="79" spans="1:8">
      <c r="A79" s="15">
        <v>2</v>
      </c>
      <c r="E79" s="15">
        <v>0.77200000000000002</v>
      </c>
      <c r="F79" s="15">
        <v>0.78</v>
      </c>
      <c r="G79" s="15">
        <f t="shared" si="1"/>
        <v>1.9664136960000003</v>
      </c>
    </row>
    <row r="80" spans="1:8">
      <c r="A80" s="15">
        <v>47</v>
      </c>
    </row>
    <row r="81" spans="1:1">
      <c r="A81" s="15">
        <v>35</v>
      </c>
    </row>
    <row r="82" spans="1:1">
      <c r="A82" s="15">
        <v>5</v>
      </c>
    </row>
    <row r="83" spans="1:1">
      <c r="A83" s="15">
        <v>12</v>
      </c>
    </row>
    <row r="84" spans="1:1">
      <c r="A84" s="15">
        <v>23</v>
      </c>
    </row>
    <row r="85" spans="1:1">
      <c r="A85" s="15">
        <v>40</v>
      </c>
    </row>
    <row r="86" spans="1:1">
      <c r="A86" s="15">
        <v>30</v>
      </c>
    </row>
    <row r="87" spans="1:1">
      <c r="A87" s="15">
        <v>26</v>
      </c>
    </row>
    <row r="88" spans="1:1">
      <c r="A88" s="15">
        <v>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321C2-BBAE-448E-9D4C-A0752A025F1C}">
  <dimension ref="A1"/>
  <sheetViews>
    <sheetView tabSelected="1" workbookViewId="0">
      <selection activeCell="D7" sqref="D7"/>
    </sheetView>
  </sheetViews>
  <sheetFormatPr defaultRowHeight="14.5"/>
  <sheetData>
    <row r="1" spans="1:1">
      <c r="A1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Respiration</vt:lpstr>
      <vt:lpstr>Size</vt:lpstr>
      <vt:lpstr>Size_multiple_calibrations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Girard</dc:creator>
  <cp:lastModifiedBy>Nina Bean</cp:lastModifiedBy>
  <dcterms:created xsi:type="dcterms:W3CDTF">2019-03-01T00:00:17Z</dcterms:created>
  <dcterms:modified xsi:type="dcterms:W3CDTF">2020-12-23T19:43:16Z</dcterms:modified>
</cp:coreProperties>
</file>